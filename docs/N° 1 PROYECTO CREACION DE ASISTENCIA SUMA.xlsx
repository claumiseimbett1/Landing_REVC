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l\OneDrive\Escritorio\SUMA\"/>
    </mc:Choice>
  </mc:AlternateContent>
  <xr:revisionPtr revIDLastSave="0" documentId="13_ncr:1_{0ABDDB4B-F0A8-4D2F-9A9F-D0422FF4AD97}" xr6:coauthVersionLast="47" xr6:coauthVersionMax="47" xr10:uidLastSave="{00000000-0000-0000-0000-000000000000}"/>
  <bookViews>
    <workbookView xWindow="-108" yWindow="-108" windowWidth="23256" windowHeight="12456" xr2:uid="{88D4EDB4-5BF9-4121-8606-4CEB83F399E2}"/>
  </bookViews>
  <sheets>
    <sheet name="SEGUIMIENTO ASISTENCIA ANUAL" sheetId="6" r:id="rId1"/>
    <sheet name="SEGUIMIENTO RENDIMIENTO ANUAL" sheetId="9" r:id="rId2"/>
    <sheet name="ASISTENCIA ENERO" sheetId="2" r:id="rId3"/>
    <sheet name="ASISTENCIA FEBRERO" sheetId="7" r:id="rId4"/>
    <sheet name="% RENDIMIENTO DIARIO" sheetId="8" r:id="rId5"/>
  </sheets>
  <definedNames>
    <definedName name="SegmentaciónDeDatos_NOMBRE_DEL_ATLETA1">#N/A</definedName>
    <definedName name="SegmentaciónDeDatos_NOMBRE_DEL_ATLETA11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4" i="7" l="1"/>
  <c r="AX5" i="7"/>
  <c r="AX6" i="7"/>
  <c r="AX7" i="7"/>
  <c r="AX8" i="7"/>
  <c r="AX9" i="7"/>
  <c r="AX10" i="7"/>
  <c r="AX11" i="7"/>
  <c r="AX12" i="7"/>
  <c r="AX13" i="7"/>
  <c r="C5" i="9"/>
  <c r="B5" i="9" s="1"/>
  <c r="C6" i="9"/>
  <c r="B6" i="9" s="1"/>
  <c r="C7" i="9"/>
  <c r="B7" i="9" s="1"/>
  <c r="C8" i="9"/>
  <c r="B8" i="9" s="1"/>
  <c r="AS5" i="8"/>
  <c r="C3" i="9" s="1"/>
  <c r="B3" i="9" s="1"/>
  <c r="C3" i="6"/>
  <c r="C4" i="6"/>
  <c r="C5" i="6"/>
  <c r="C6" i="6"/>
  <c r="C7" i="6"/>
  <c r="C8" i="6"/>
  <c r="C9" i="6"/>
  <c r="C10" i="6"/>
  <c r="C11" i="6"/>
  <c r="C12" i="6"/>
  <c r="AS14" i="8"/>
  <c r="AS13" i="8"/>
  <c r="AS12" i="8"/>
  <c r="C10" i="9" s="1"/>
  <c r="B10" i="9" s="1"/>
  <c r="AS11" i="8"/>
  <c r="C9" i="9" s="1"/>
  <c r="B9" i="9" s="1"/>
  <c r="AS10" i="8"/>
  <c r="AS9" i="8"/>
  <c r="AS8" i="8"/>
  <c r="AS7" i="8"/>
  <c r="AS6" i="8"/>
  <c r="C4" i="9" s="1"/>
  <c r="B4" i="9" s="1"/>
  <c r="AX13" i="2"/>
  <c r="AW13" i="7"/>
  <c r="AV13" i="7"/>
  <c r="AU13" i="7"/>
  <c r="AT13" i="7"/>
  <c r="D12" i="6" s="1"/>
  <c r="B12" i="6" s="1"/>
  <c r="AS13" i="7"/>
  <c r="AW12" i="7"/>
  <c r="AV12" i="7"/>
  <c r="AU12" i="7"/>
  <c r="AT12" i="7"/>
  <c r="AS12" i="7"/>
  <c r="AW11" i="7"/>
  <c r="AV11" i="7"/>
  <c r="AU11" i="7"/>
  <c r="AT11" i="7"/>
  <c r="D10" i="6" s="1"/>
  <c r="B10" i="6" s="1"/>
  <c r="AS11" i="7"/>
  <c r="AW10" i="7"/>
  <c r="AV10" i="7"/>
  <c r="AU10" i="7"/>
  <c r="AT10" i="7"/>
  <c r="D9" i="6" s="1"/>
  <c r="B9" i="6" s="1"/>
  <c r="AS10" i="7"/>
  <c r="AW9" i="7"/>
  <c r="AV9" i="7"/>
  <c r="AU9" i="7"/>
  <c r="AT9" i="7"/>
  <c r="D8" i="6" s="1"/>
  <c r="B8" i="6" s="1"/>
  <c r="AS9" i="7"/>
  <c r="AW8" i="7"/>
  <c r="AV8" i="7"/>
  <c r="AU8" i="7"/>
  <c r="AT8" i="7"/>
  <c r="D7" i="6" s="1"/>
  <c r="B7" i="6" s="1"/>
  <c r="AS8" i="7"/>
  <c r="AW7" i="7"/>
  <c r="AV7" i="7"/>
  <c r="AU7" i="7"/>
  <c r="AT7" i="7"/>
  <c r="AS7" i="7"/>
  <c r="AW6" i="7"/>
  <c r="AV6" i="7"/>
  <c r="AU6" i="7"/>
  <c r="AT6" i="7"/>
  <c r="D5" i="6" s="1"/>
  <c r="B5" i="6" s="1"/>
  <c r="AS6" i="7"/>
  <c r="AW5" i="7"/>
  <c r="AV5" i="7"/>
  <c r="AU5" i="7"/>
  <c r="AT5" i="7"/>
  <c r="D4" i="6" s="1"/>
  <c r="B4" i="6" s="1"/>
  <c r="AS5" i="7"/>
  <c r="AW4" i="7"/>
  <c r="AV4" i="7"/>
  <c r="AU4" i="7"/>
  <c r="AT4" i="7"/>
  <c r="D3" i="6" s="1"/>
  <c r="B3" i="6" s="1"/>
  <c r="AS4" i="7"/>
  <c r="AU5" i="2"/>
  <c r="AV5" i="2"/>
  <c r="AW5" i="2"/>
  <c r="AU6" i="2"/>
  <c r="AV6" i="2"/>
  <c r="AW6" i="2"/>
  <c r="AU7" i="2"/>
  <c r="AV7" i="2"/>
  <c r="AW7" i="2"/>
  <c r="AU8" i="2"/>
  <c r="AV8" i="2"/>
  <c r="AW8" i="2"/>
  <c r="AU9" i="2"/>
  <c r="AV9" i="2"/>
  <c r="AW9" i="2"/>
  <c r="AU10" i="2"/>
  <c r="AV10" i="2"/>
  <c r="AW10" i="2"/>
  <c r="AU11" i="2"/>
  <c r="AV11" i="2"/>
  <c r="AW11" i="2"/>
  <c r="AU12" i="2"/>
  <c r="AV12" i="2"/>
  <c r="AW12" i="2"/>
  <c r="AU13" i="2"/>
  <c r="AV13" i="2"/>
  <c r="AW13" i="2"/>
  <c r="AW4" i="2"/>
  <c r="AV4" i="2"/>
  <c r="AU4" i="2"/>
  <c r="AT5" i="2"/>
  <c r="AX5" i="2" s="1"/>
  <c r="AT6" i="2"/>
  <c r="AX6" i="2" s="1"/>
  <c r="AT7" i="2"/>
  <c r="AT8" i="2"/>
  <c r="AX8" i="2" s="1"/>
  <c r="AT9" i="2"/>
  <c r="AX9" i="2" s="1"/>
  <c r="AT10" i="2"/>
  <c r="AX10" i="2" s="1"/>
  <c r="AT11" i="2"/>
  <c r="AX11" i="2" s="1"/>
  <c r="AT12" i="2"/>
  <c r="AX12" i="2" s="1"/>
  <c r="AT13" i="2"/>
  <c r="AT4" i="2"/>
  <c r="AX4" i="2" s="1"/>
  <c r="AS5" i="2"/>
  <c r="AS6" i="2"/>
  <c r="AS7" i="2"/>
  <c r="AS8" i="2"/>
  <c r="AS9" i="2"/>
  <c r="AS10" i="2"/>
  <c r="AS11" i="2"/>
  <c r="AS12" i="2"/>
  <c r="AS13" i="2"/>
  <c r="AS4" i="2"/>
  <c r="C12" i="9" l="1"/>
  <c r="D12" i="9"/>
  <c r="B12" i="9" s="1"/>
  <c r="D11" i="9"/>
  <c r="B11" i="9" s="1"/>
  <c r="C11" i="9"/>
  <c r="D11" i="6"/>
  <c r="B11" i="6" s="1"/>
  <c r="D6" i="6"/>
  <c r="B6" i="6" s="1"/>
  <c r="AX7" i="2"/>
</calcChain>
</file>

<file path=xl/sharedStrings.xml><?xml version="1.0" encoding="utf-8"?>
<sst xmlns="http://schemas.openxmlformats.org/spreadsheetml/2006/main" count="952" uniqueCount="101">
  <si>
    <t>D</t>
  </si>
  <si>
    <t>L</t>
  </si>
  <si>
    <t>M</t>
  </si>
  <si>
    <t>X</t>
  </si>
  <si>
    <t>J</t>
  </si>
  <si>
    <t>V</t>
  </si>
  <si>
    <t>S</t>
  </si>
  <si>
    <t>N°</t>
  </si>
  <si>
    <t>NOMBRE DEL ATLETA</t>
  </si>
  <si>
    <t>JUAN</t>
  </si>
  <si>
    <t>LUISA</t>
  </si>
  <si>
    <t>MARIA</t>
  </si>
  <si>
    <t>PEDRO</t>
  </si>
  <si>
    <t>LUNA</t>
  </si>
  <si>
    <t>RAMON</t>
  </si>
  <si>
    <t>VICENTE</t>
  </si>
  <si>
    <t>LUIS</t>
  </si>
  <si>
    <t>MARCOS</t>
  </si>
  <si>
    <t>LINDA</t>
  </si>
  <si>
    <t>ASISTENCIA MES ENERO 2026</t>
  </si>
  <si>
    <t>TOTAL INASISTENCIA</t>
  </si>
  <si>
    <t>TOTAL  ASISTENCIA</t>
  </si>
  <si>
    <t>TOTAL LLUVIA</t>
  </si>
  <si>
    <t>TOTAL CIERRE</t>
  </si>
  <si>
    <t>TOTAL SUSPEN.</t>
  </si>
  <si>
    <t>A: ASISTENCIA</t>
  </si>
  <si>
    <t>I: INASISTENCIA</t>
  </si>
  <si>
    <t>S: SUSPENCIONES</t>
  </si>
  <si>
    <t>LL: LLUVIA</t>
  </si>
  <si>
    <t>C: CIERRE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</si>
  <si>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</si>
  <si>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</si>
  <si>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</si>
  <si>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</si>
  <si>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</si>
  <si>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</si>
  <si>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</si>
  <si>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</si>
  <si>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</si>
  <si>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</si>
  <si>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</si>
  <si>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</si>
  <si>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</si>
  <si>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</si>
  <si>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</si>
  <si>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</si>
  <si>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</si>
  <si>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</si>
  <si>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</si>
  <si>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</si>
  <si>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</si>
  <si>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</si>
  <si>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</si>
  <si>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</si>
  <si>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</si>
  <si>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</si>
  <si>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</si>
  <si>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</si>
  <si>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</si>
  <si>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</si>
  <si>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</si>
  <si>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x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</si>
  <si>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</si>
  <si>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</si>
  <si>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</si>
  <si>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</si>
  <si>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</si>
  <si>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</si>
  <si>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</si>
  <si>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</si>
  <si>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</si>
  <si>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</si>
  <si>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A</t>
  </si>
  <si>
    <t>LL</t>
  </si>
  <si>
    <t>I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</si>
  <si>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</si>
  <si>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</si>
  <si>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</si>
  <si>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</si>
  <si>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</si>
  <si>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</si>
  <si>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</si>
  <si>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</si>
  <si>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</si>
  <si>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</si>
  <si>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</si>
  <si>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</si>
  <si>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GRÁFICA</t>
  </si>
  <si>
    <t>% ASISTENCIA</t>
  </si>
  <si>
    <t>ESCALA: 100% ENTRENAMIENTO PERFECTO - 75% LOGROS PARCIALES - 50% ENTRENAMIENTO REGULAR - 25% ASISTENCIA</t>
  </si>
  <si>
    <t>% DEL MES</t>
  </si>
  <si>
    <t>MINI GRÁFICO</t>
  </si>
  <si>
    <t xml:space="preserve"> % RENDIMIENTO DIARIO MES ENERO 2026</t>
  </si>
  <si>
    <t>% RENDIMIENTO</t>
  </si>
  <si>
    <t>Columna29</t>
  </si>
  <si>
    <t>Columna30</t>
  </si>
  <si>
    <t>Columna31</t>
  </si>
  <si>
    <t>Columna32</t>
  </si>
  <si>
    <t>Columna33</t>
  </si>
  <si>
    <t>Columna34</t>
  </si>
  <si>
    <t>Columna35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</si>
</sst>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9" fontId="0" fillId="0" borderId="0" xfId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8" fillId="0" borderId="0" xfId="1" applyFont="1" applyAlignment="1">
      <alignment horizontal="center" vertical="center"/>
    </xf>
    <xf numFmtId="9" fontId="6" fillId="0" borderId="0" xfId="1" applyFont="1" applyAlignment="1">
      <alignment horizontal="center"/>
    </xf>
  </cellXfs>
  <cellStyles count="2">
    <cellStyle name="Normal" xfId="0" builtinId="0"/>
    <cellStyle name="Porcentaje" xfId="1" builtinId="5"/>
  </cellStyles>
  <dxfs count="252">
    <dxf>
      <numFmt numFmtId="13" formatCode="0%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font>
        <b/>
        <i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53340</xdr:colOff>
      <xdr:row>0</xdr:row>
      <xdr:rowOff>0</xdr:rowOff>
    </xdr:from>
    <xdr:to>
      <xdr:col>14</xdr:col>
      <xdr:colOff>83820</xdr:colOff>
      <xdr:row>0</xdr:row>
      <xdr:rowOff>1775460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NOMBRE DEL ATLETA 1">
              <a:extLst>
                <a:ext uri="{FF2B5EF4-FFF2-40B4-BE49-F238E27FC236}">
                  <a16:creationId xmlns:a16="http://schemas.microsoft.com/office/drawing/2014/main" id="{860D885A-DB10-64C7-4D1E-9D42EF28DB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ATLE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" y="1"/>
              <a:ext cx="6697980" cy="1531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53340</xdr:colOff>
      <xdr:row>0</xdr:row>
      <xdr:rowOff>0</xdr:rowOff>
    </xdr:from>
    <xdr:to>
      <xdr:col>14</xdr:col>
      <xdr:colOff>45720</xdr:colOff>
      <xdr:row>0</xdr:row>
      <xdr:rowOff>1775460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NOMBRE DEL ATLETA 2">
              <a:extLst>
                <a:ext uri="{FF2B5EF4-FFF2-40B4-BE49-F238E27FC236}">
                  <a16:creationId xmlns:a16="http://schemas.microsoft.com/office/drawing/2014/main" id="{764E89CC-66AE-48DF-B5DA-BC65B885B9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ATLET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" y="0"/>
              <a:ext cx="6697980" cy="1775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L_ATLETA1" xr10:uid="{F6787AED-42DF-46A7-8039-887C88EC335D}" sourceName="NOMBRE DEL ATLETA">
  <extLst>
    <x:ext xmlns:x15="http://schemas.microsoft.com/office/spreadsheetml/2010/11/main" uri="{2F2917AC-EB37-4324-AD4E-5DD8C200BD13}">
      <x15:tableSlicerCache tableId="6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L_ATLETA11" xr10:uid="{22D63A01-2EF7-4A9C-AF5C-D0A4B680C1D9}" sourceName="NOMBRE DEL ATLETA">
  <extLst>
    <x:ext xmlns:x15="http://schemas.microsoft.com/office/spreadsheetml/2010/11/main" uri="{2F2917AC-EB37-4324-AD4E-5DD8C200BD13}">
      <x15:tableSlicerCache tableId="2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DEL ATLETA 1" xr10:uid="{62FF15C5-8EF4-450D-A811-53E3F6B79606}" cache="SegmentaciónDeDatos_NOMBRE_DEL_ATLETA1" caption="NOMBRE DEL ATLETA" columnCount="2" style="SlicerStyleOther2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DEL ATLETA 2" xr10:uid="{9AB7A35C-E1BD-4328-9037-32F7E5AA1E70}" cache="SegmentaciónDeDatos_NOMBRE_DEL_ATLETA11" caption="NOMBRE DEL ATLETA" columnCount="2" style="SlicerStyleOther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E678CE-9241-4130-B70E-111F55A81D9C}" name="Tabla6" displayName="Tabla6" ref="A2:O12" headerRowDxfId="159">
  <autoFilter ref="A2:O12" xr:uid="{B0E678CE-9241-4130-B70E-111F55A81D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46DB68A-860F-49EB-91BC-F9D678F07A9E}" name="NOMBRE DEL ATLETA" totalsRowLabel="Total"/>
    <tableColumn id="16" xr3:uid="{A427C978-0D68-4995-8CDC-C60B827DEEA1}" name="% ASISTENCIA" dataDxfId="158" dataCellStyle="Porcentaje">
      <calculatedColumnFormula>AVERAGE(Tabla6[[#This Row],[ENERO]:[DICIEMBRE]])</calculatedColumnFormula>
    </tableColumn>
    <tableColumn id="2" xr3:uid="{DA9BD855-AE38-4B05-8175-79C230968903}" name="ENERO" dataDxfId="157" totalsRowDxfId="156" dataCellStyle="Porcentaje">
      <calculatedColumnFormula>_xlfn.XLOOKUP(A3,ENERO[NOMBRE DEL ATLETA],ENERO[% ASISTENCIA])</calculatedColumnFormula>
    </tableColumn>
    <tableColumn id="3" xr3:uid="{8E47308C-9D38-49F2-BB74-460565AB69FD}" name="FEBRERO" dataDxfId="155" totalsRowDxfId="154" dataCellStyle="Porcentaje">
      <calculatedColumnFormula>_xlfn.XLOOKUP(Tabla6[[#This Row],[NOMBRE DEL ATLETA]],FEBRERO[NOMBRE DEL ATLETA],FEBRERO[% ASISTENCIA])</calculatedColumnFormula>
    </tableColumn>
    <tableColumn id="4" xr3:uid="{284E5EC2-5680-49BA-9FF9-2972140E92A4}" name="MARZO" dataDxfId="153" totalsRowDxfId="152" dataCellStyle="Porcentaje"/>
    <tableColumn id="5" xr3:uid="{B95AB6EE-0A09-483C-849A-D3060C25039F}" name="ABRIL" dataDxfId="151" totalsRowDxfId="150" dataCellStyle="Porcentaje"/>
    <tableColumn id="6" xr3:uid="{2EF1AC0C-0A56-417E-A2C9-57E7FABB2833}" name="MAYO" dataDxfId="149" totalsRowDxfId="148" dataCellStyle="Porcentaje"/>
    <tableColumn id="7" xr3:uid="{4DC67072-C005-432A-9FFA-F32DA7C2658F}" name="JUNIO" dataDxfId="147" totalsRowDxfId="146" dataCellStyle="Porcentaje"/>
    <tableColumn id="8" xr3:uid="{214FA9FF-D2F8-40A8-87E7-B74FBA8A8C55}" name="JULIO" dataDxfId="145" totalsRowDxfId="144" dataCellStyle="Porcentaje"/>
    <tableColumn id="9" xr3:uid="{706206C0-61C6-4D61-A3BB-4E1D839C9513}" name="AGOSTO" dataDxfId="143" totalsRowDxfId="142" dataCellStyle="Porcentaje"/>
    <tableColumn id="10" xr3:uid="{2911F362-570F-4E4C-9090-538FFA3998E4}" name="SEPTIEMBRE" dataDxfId="141" totalsRowDxfId="140" dataCellStyle="Porcentaje"/>
    <tableColumn id="11" xr3:uid="{3D98F47F-9B38-456C-B752-E8755CC4A863}" name="OCTUBRE" dataDxfId="139" totalsRowDxfId="138" dataCellStyle="Porcentaje"/>
    <tableColumn id="12" xr3:uid="{5AA916E9-18EE-42A3-953A-FF119E20ACCD}" name="NOVIEMBRE" dataDxfId="137" totalsRowDxfId="136" dataCellStyle="Porcentaje"/>
    <tableColumn id="13" xr3:uid="{8541B692-9218-4857-BF32-A0F7AC908D1C}" name="DICIEMBRE" dataDxfId="135" totalsRowDxfId="134" dataCellStyle="Porcentaje"/>
    <tableColumn id="14" xr3:uid="{F36E5803-9C81-443F-B415-2DFC5F9A5AB8}" name="GRÁFICA" totalsRowFunction="count" dataDxfId="133" totalsRowDxfId="132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5C6052-2D21-435A-B900-B18FA410AB37}" name="Tabla63" displayName="Tabla63" ref="A2:O12" headerRowDxfId="131">
  <autoFilter ref="A2:O12" xr:uid="{B0E678CE-9241-4130-B70E-111F55A81D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3E575E0-E7E4-420D-98F8-729F26DFD6AA}" name="NOMBRE DEL ATLETA" totalsRowLabel="Total"/>
    <tableColumn id="16" xr3:uid="{8E1F0624-6A7A-47D2-BD7A-630E5936678D}" name="% RENDIMIENTO" dataDxfId="130" dataCellStyle="Porcentaje">
      <calculatedColumnFormula>AVERAGE(Tabla63[[#This Row],[ENERO]:[DICIEMBRE]])</calculatedColumnFormula>
    </tableColumn>
    <tableColumn id="2" xr3:uid="{3E50580F-F353-450E-A4B7-1F458EC41E64}" name="ENERO" dataDxfId="129" totalsRowDxfId="128" dataCellStyle="Porcentaje">
      <calculatedColumnFormula>_xlfn.XLOOKUP(A3,RENDIMIENTO_ENERO[NOMBRE DEL ATLETA],RENDIMIENTO_ENERO[% DEL MES])</calculatedColumnFormula>
    </tableColumn>
    <tableColumn id="3" xr3:uid="{76B58A39-53B7-4583-9AA3-BA00DF44B668}" name="FEBRERO" dataDxfId="127" totalsRowDxfId="126" dataCellStyle="Porcentaje">
      <calculatedColumnFormula>_xlfn.XLOOKUP(A3,RENDIMIENTO_ENERO[NOMBRE DEL ATLETA],RENDIMIENTO_ENERO[% DEL MES])</calculatedColumnFormula>
    </tableColumn>
    <tableColumn id="4" xr3:uid="{61570554-E5AD-4598-95ED-488E361E870D}" name="MARZO" dataDxfId="125" totalsRowDxfId="124" dataCellStyle="Porcentaje"/>
    <tableColumn id="5" xr3:uid="{F976CD4D-8326-4609-BEA7-3E6099DC4C5E}" name="ABRIL" dataDxfId="123" totalsRowDxfId="122" dataCellStyle="Porcentaje"/>
    <tableColumn id="6" xr3:uid="{3861F525-981B-407F-9214-0A11EEEB68D9}" name="MAYO" dataDxfId="121" totalsRowDxfId="120" dataCellStyle="Porcentaje"/>
    <tableColumn id="7" xr3:uid="{5C011814-FE88-430B-8D8B-42A158B32939}" name="JUNIO" dataDxfId="119" totalsRowDxfId="118" dataCellStyle="Porcentaje"/>
    <tableColumn id="8" xr3:uid="{C922E71B-9A06-42BA-8F71-C1C0AE17917E}" name="JULIO" dataDxfId="117" totalsRowDxfId="116" dataCellStyle="Porcentaje"/>
    <tableColumn id="9" xr3:uid="{2443A222-B21B-4D9C-B69A-20747430C097}" name="AGOSTO" dataDxfId="115" totalsRowDxfId="114" dataCellStyle="Porcentaje"/>
    <tableColumn id="10" xr3:uid="{0AEDE558-DAF7-410C-8BB2-5326B2AA6F28}" name="SEPTIEMBRE" dataDxfId="113" totalsRowDxfId="112" dataCellStyle="Porcentaje"/>
    <tableColumn id="11" xr3:uid="{F201CCC3-CEA2-41B3-8410-BE4374052A3C}" name="OCTUBRE" dataDxfId="111" totalsRowDxfId="110" dataCellStyle="Porcentaje"/>
    <tableColumn id="12" xr3:uid="{EB469CA9-4330-4F4D-BCEC-F14EC597F4C4}" name="NOVIEMBRE" dataDxfId="109" totalsRowDxfId="108" dataCellStyle="Porcentaje"/>
    <tableColumn id="13" xr3:uid="{5D3C8C67-F894-4C69-BA79-6D09834832F4}" name="DICIEMBRE" dataDxfId="107" totalsRowDxfId="106" dataCellStyle="Porcentaje"/>
    <tableColumn id="14" xr3:uid="{A3B4833E-B802-43CC-8E42-87EAB263DE00}" name="GRÁFICA" totalsRowFunction="count" dataDxfId="105" totalsRowDxfId="104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756D74-1BC2-41F3-A89A-1C3E551E026A}" name="ENERO" displayName="ENERO" ref="A3:AX13" totalsRowShown="0" headerRowDxfId="103" dataDxfId="102">
  <autoFilter ref="A3:AX13" xr:uid="{B0756D74-1BC2-41F3-A89A-1C3E551E02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</autoFilter>
  <tableColumns count="50">
    <tableColumn id="1" xr3:uid="{E04A41AB-1E55-4359-B37E-15F768C30E09}" name="N°" dataDxfId="101"/>
    <tableColumn id="2" xr3:uid="{B2ED6BB5-6AC0-4A54-831B-B0DC7CE722EC}" name="NOMBRE DEL ATLETA" dataDxfId="100"/>
    <tableColumn id="3" xr3:uid="{727A5CD3-CD54-4B15-996B-F83973B688C2}" name="x" dataDxfId="99" dataCellStyle="Porcentaje"/>
    <tableColumn id="4" xr3:uid="{4FE3C5C3-A23D-4C01-BE2D-11A4F9C05239}" name="x2" dataDxfId="98" dataCellStyle="Porcentaje"/>
    <tableColumn id="5" xr3:uid="{2995AEBA-F707-4005-AE20-8584CFD6E960}" name="x3" dataDxfId="97" dataCellStyle="Porcentaje"/>
    <tableColumn id="6" xr3:uid="{C8E46307-3AF4-4DDC-9418-16F7EEBEDF3D}" name="x4" dataDxfId="96" dataCellStyle="Porcentaje"/>
    <tableColumn id="7" xr3:uid="{D627C7C0-2326-422D-A94C-4B4B1F082F55}" name="1" dataDxfId="95" dataCellStyle="Porcentaje"/>
    <tableColumn id="8" xr3:uid="{3C215390-0937-44F8-9707-FD1E6FEBF5C6}" name="2" dataDxfId="94" dataCellStyle="Porcentaje"/>
    <tableColumn id="9" xr3:uid="{C3F647D2-0D5D-44E2-A12A-BDBAA9A9D97B}" name="3" dataDxfId="93" dataCellStyle="Porcentaje"/>
    <tableColumn id="10" xr3:uid="{CFB8325E-8AE7-44E4-A1AE-E21C55E4AA30}" name="4" dataDxfId="92" dataCellStyle="Porcentaje"/>
    <tableColumn id="11" xr3:uid="{C37C3117-DB47-4E72-AD01-FC21EBC06215}" name="5" dataDxfId="91" dataCellStyle="Porcentaje"/>
    <tableColumn id="12" xr3:uid="{5C164647-6C0D-419B-A0C6-072E20C26105}" name="6" dataDxfId="90" dataCellStyle="Porcentaje"/>
    <tableColumn id="13" xr3:uid="{6FEC61F4-CA0C-4A01-B62F-DEB8B668735C}" name="7" dataDxfId="89" dataCellStyle="Porcentaje"/>
    <tableColumn id="14" xr3:uid="{D6CDF2CB-62E9-4454-906B-51B8632CB9EF}" name="8" dataDxfId="88" dataCellStyle="Porcentaje"/>
    <tableColumn id="15" xr3:uid="{A1D3E56D-0F5B-4EB7-94D1-B7FBE621BDD8}" name="9" dataDxfId="87" dataCellStyle="Porcentaje"/>
    <tableColumn id="16" xr3:uid="{77D7594B-D264-44A3-B76B-6B3CB00D312D}" name="10" dataDxfId="86" dataCellStyle="Porcentaje"/>
    <tableColumn id="17" xr3:uid="{62C80B20-3771-43D2-96B0-C2DB003CEEC3}" name="11" dataDxfId="85" dataCellStyle="Porcentaje"/>
    <tableColumn id="18" xr3:uid="{CF51381B-55B1-4136-833B-7805ACD24E5E}" name="12" dataDxfId="84" dataCellStyle="Porcentaje"/>
    <tableColumn id="19" xr3:uid="{6AB0478E-4864-4CC0-AE23-DFB67829D3A2}" name="13" dataDxfId="83" dataCellStyle="Porcentaje"/>
    <tableColumn id="20" xr3:uid="{BBE32E9B-0DCD-45AC-AC95-BE4D76430B18}" name="14" dataDxfId="82" dataCellStyle="Porcentaje"/>
    <tableColumn id="21" xr3:uid="{AD058E90-9FA8-4C27-BD7F-6142D1B648F3}" name="15" dataDxfId="81" dataCellStyle="Porcentaje"/>
    <tableColumn id="22" xr3:uid="{6FAD5AE1-4819-4DC1-BD21-620D3643FE17}" name="16" dataDxfId="80" dataCellStyle="Porcentaje"/>
    <tableColumn id="23" xr3:uid="{39E89A91-DCC3-45B2-8726-36BAB1AD952F}" name="17" dataDxfId="79" dataCellStyle="Porcentaje"/>
    <tableColumn id="24" xr3:uid="{ED45E71B-2F76-4D45-8AE7-0E4BC93F35DF}" name="18" dataDxfId="78" dataCellStyle="Porcentaje"/>
    <tableColumn id="25" xr3:uid="{5F69B248-D101-4ED0-98E7-C93D0BB52F68}" name="19" dataDxfId="77" dataCellStyle="Porcentaje"/>
    <tableColumn id="26" xr3:uid="{73C8AC91-9DCC-4B0A-BFA1-F773CAA221F7}" name="20" dataDxfId="76" dataCellStyle="Porcentaje"/>
    <tableColumn id="27" xr3:uid="{B4DC5481-D811-4BD2-8AB3-0FAA36A518A1}" name="21" dataDxfId="75" dataCellStyle="Porcentaje"/>
    <tableColumn id="28" xr3:uid="{D51B93DD-7634-4E8B-ADDB-A138D2A3B13D}" name="22" dataDxfId="74" dataCellStyle="Porcentaje"/>
    <tableColumn id="29" xr3:uid="{04F391D0-D493-4B06-B546-1C032D4EB534}" name="23" dataDxfId="73" dataCellStyle="Porcentaje"/>
    <tableColumn id="30" xr3:uid="{F28E30BA-8FF9-490B-9196-FD161698EB6C}" name="24" dataDxfId="72" dataCellStyle="Porcentaje"/>
    <tableColumn id="31" xr3:uid="{C95077A2-2A50-4ED5-8D89-E3CAA5436BD0}" name="25" dataDxfId="71" dataCellStyle="Porcentaje"/>
    <tableColumn id="32" xr3:uid="{420EC52F-6FDC-4FB4-B935-5DAB838978BA}" name="26" dataDxfId="70" dataCellStyle="Porcentaje"/>
    <tableColumn id="33" xr3:uid="{9469C857-A897-4537-96CC-231BF735875E}" name="27" dataDxfId="69" dataCellStyle="Porcentaje"/>
    <tableColumn id="34" xr3:uid="{49FC63D2-160B-464C-9CC3-717369FEB379}" name="28" dataDxfId="68" dataCellStyle="Porcentaje"/>
    <tableColumn id="35" xr3:uid="{DFC80EBF-919E-45AE-A554-8F997A877A97}" name="29" dataDxfId="67" dataCellStyle="Porcentaje"/>
    <tableColumn id="36" xr3:uid="{D7255B80-F200-4158-9D18-CC9DC2D8A4E5}" name="30" dataDxfId="66" dataCellStyle="Porcentaje"/>
    <tableColumn id="37" xr3:uid="{B4A7E319-A2E0-48D6-A304-058D0A4EF44E}" name="31" dataDxfId="65" dataCellStyle="Porcentaje"/>
    <tableColumn id="38" xr3:uid="{F2F186EB-7EA7-4B30-8954-8F22D89C1A0D}" name="x5" dataDxfId="64" dataCellStyle="Porcentaje"/>
    <tableColumn id="39" xr3:uid="{7DED98D1-AD55-417A-82BD-4F83D36C5EB8}" name="x6" dataDxfId="63" dataCellStyle="Porcentaje"/>
    <tableColumn id="40" xr3:uid="{187E25D7-3BED-4100-A3E7-F7A7795EEFBB}" name="x7" dataDxfId="62" dataCellStyle="Porcentaje"/>
    <tableColumn id="41" xr3:uid="{F763D79A-A726-4ECC-B7C4-DF17E902C2CB}" name="x8" dataDxfId="61" dataCellStyle="Porcentaje"/>
    <tableColumn id="42" xr3:uid="{A554E9C8-66FF-4837-AEB1-924E9D9D9395}" name="x9" dataDxfId="60" dataCellStyle="Porcentaje"/>
    <tableColumn id="43" xr3:uid="{262FC3C0-0A75-4A72-86E4-199C5F772D10}" name="x10" dataDxfId="59" dataCellStyle="Porcentaje"/>
    <tableColumn id="44" xr3:uid="{AC32D005-8AC3-4881-B137-9A0DFF243CDB}" name="x11" dataDxfId="58" dataCellStyle="Porcentaje"/>
    <tableColumn id="45" xr3:uid="{B43D8B16-B598-4709-92F5-4A4BFF8A754B}" name="TOTAL  ASISTENCIA" dataDxfId="57">
      <calculatedColumnFormula>COUNTIF(C4:AR4,"A")</calculatedColumnFormula>
    </tableColumn>
    <tableColumn id="46" xr3:uid="{9E9BF931-21EA-4402-ACEE-BE727812971A}" name="TOTAL INASISTENCIA" dataDxfId="56">
      <calculatedColumnFormula>COUNTIF(C4:AR4,"I")</calculatedColumnFormula>
    </tableColumn>
    <tableColumn id="47" xr3:uid="{FA46C0A7-9791-4216-A3E7-37B55AFDB0C4}" name="TOTAL SUSPEN." dataDxfId="55">
      <calculatedColumnFormula>COUNTIF(C4:AR4,"S")</calculatedColumnFormula>
    </tableColumn>
    <tableColumn id="48" xr3:uid="{BEBB373A-5D32-4F64-B383-27E75ED79E41}" name="TOTAL LLUVIA" dataDxfId="54">
      <calculatedColumnFormula>COUNTIF(C4:AR4,"LL")</calculatedColumnFormula>
    </tableColumn>
    <tableColumn id="49" xr3:uid="{91F650AC-C8C8-44F6-90F0-7443C15DDD5B}" name="TOTAL CIERRE" dataDxfId="53">
      <calculatedColumnFormula>COUNTIF(C4:AR4,"C")</calculatedColumnFormula>
    </tableColumn>
    <tableColumn id="50" xr3:uid="{937C9099-980C-474F-9DE2-7BC35E1DC5C7}" name="% ASISTENCIA" dataDxfId="52" dataCellStyle="Porcentaje">
      <calculatedColumnFormula>SUM(31-SUM(ENERO[[#This Row],[TOTAL INASISTENCIA]:[TOTAL CIERRE]]))/31</calculatedColumnFormula>
    </tableColumn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D3AB28-4439-471A-96B6-74628D7BDD8A}" name="FEBRERO" displayName="FEBRERO" ref="A3:AX13" totalsRowShown="0" headerRowDxfId="51" dataDxfId="50">
  <autoFilter ref="A3:AX13" xr:uid="{B0756D74-1BC2-41F3-A89A-1C3E551E02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</autoFilter>
  <tableColumns count="50">
    <tableColumn id="1" xr3:uid="{FEDD1320-3D2F-4383-8ADB-9082D51513D3}" name="N°" dataDxfId="49"/>
    <tableColumn id="2" xr3:uid="{E8CB95BE-A2D8-4C76-9BE6-96C4032474EB}" name="NOMBRE DEL ATLETA" dataDxfId="48"/>
    <tableColumn id="3" xr3:uid="{8ADE4389-FE2E-4563-BE60-6C9C411CA20B}" name="1" dataDxfId="47" dataCellStyle="Porcentaje"/>
    <tableColumn id="4" xr3:uid="{F71AF7C7-0754-4BB1-B663-9E1E316AD6C8}" name="2" dataDxfId="46" dataCellStyle="Porcentaje"/>
    <tableColumn id="5" xr3:uid="{12511617-6FC5-418E-A204-40B66CDEB8E7}" name="3" dataDxfId="45" dataCellStyle="Porcentaje"/>
    <tableColumn id="6" xr3:uid="{269918DC-1E18-4D29-9819-0F2276964101}" name="4" dataDxfId="44" dataCellStyle="Porcentaje"/>
    <tableColumn id="7" xr3:uid="{2B1FF154-0416-4460-90D1-352CC8AB6F13}" name="5" dataDxfId="43" dataCellStyle="Porcentaje"/>
    <tableColumn id="8" xr3:uid="{3E2EC7ED-4489-4013-B31D-CCBC847C764D}" name="6" dataDxfId="42" dataCellStyle="Porcentaje"/>
    <tableColumn id="9" xr3:uid="{1646D222-D83A-4147-8714-30C6CC6E359E}" name="7" dataDxfId="41" dataCellStyle="Porcentaje"/>
    <tableColumn id="10" xr3:uid="{A5241C4A-9EA4-4129-9064-5ACA84C3F8C7}" name="8" dataDxfId="40" dataCellStyle="Porcentaje"/>
    <tableColumn id="11" xr3:uid="{466E7278-FFAD-4C88-AB36-3879006D273F}" name="9" dataDxfId="39" dataCellStyle="Porcentaje"/>
    <tableColumn id="12" xr3:uid="{CB87C1F1-104D-4E72-8433-EFFACA84FF80}" name="10" dataDxfId="38" dataCellStyle="Porcentaje"/>
    <tableColumn id="13" xr3:uid="{9D82CCB6-C6E5-47F2-B7FF-500359849ACD}" name="11" dataDxfId="37" dataCellStyle="Porcentaje"/>
    <tableColumn id="14" xr3:uid="{1360273B-CBD8-47ED-AF2C-F682F2B86EE9}" name="12" dataDxfId="36" dataCellStyle="Porcentaje"/>
    <tableColumn id="15" xr3:uid="{64ADF1CD-D15F-413F-9D0F-2DD2123D79BE}" name="13" dataDxfId="35" dataCellStyle="Porcentaje"/>
    <tableColumn id="16" xr3:uid="{206AE13C-0412-43E4-8ACB-33F8095379C0}" name="14" dataDxfId="34" dataCellStyle="Porcentaje"/>
    <tableColumn id="17" xr3:uid="{C8A614A6-5D99-4C96-B9D5-8AC88D3F61EB}" name="15" dataDxfId="33" dataCellStyle="Porcentaje"/>
    <tableColumn id="18" xr3:uid="{2D8625BA-3A2E-49CD-A743-C30954AC9C8A}" name="16" dataDxfId="32" dataCellStyle="Porcentaje"/>
    <tableColumn id="19" xr3:uid="{7114B849-B1DA-4D41-A0E7-A4C3A2331D1E}" name="17" dataDxfId="31" dataCellStyle="Porcentaje"/>
    <tableColumn id="20" xr3:uid="{4E9E2985-4A69-4CA4-AA66-010C23099915}" name="18" dataDxfId="30" dataCellStyle="Porcentaje"/>
    <tableColumn id="21" xr3:uid="{88581C35-52AC-40E9-BCD6-6A5665DE085A}" name="19" dataDxfId="29" dataCellStyle="Porcentaje"/>
    <tableColumn id="22" xr3:uid="{84B77786-60F8-4120-8C8D-F3929C6BE6DB}" name="20" dataDxfId="28" dataCellStyle="Porcentaje"/>
    <tableColumn id="23" xr3:uid="{D9F45C4C-47A2-4D09-B9A4-4C7F744B3DA2}" name="21" dataDxfId="27" dataCellStyle="Porcentaje"/>
    <tableColumn id="24" xr3:uid="{80AE2189-4E4E-4A97-B6B1-C56332E34B39}" name="22" dataDxfId="26" dataCellStyle="Porcentaje"/>
    <tableColumn id="25" xr3:uid="{5F58C5E9-2141-473F-9FF6-FB79141EC4CF}" name="23" dataDxfId="25" dataCellStyle="Porcentaje"/>
    <tableColumn id="26" xr3:uid="{DCD0ACDE-3A84-4C7F-9E38-0F90BB8732C0}" name="24" dataDxfId="24" dataCellStyle="Porcentaje"/>
    <tableColumn id="27" xr3:uid="{96FBC5E8-45D7-4231-AC2E-E4AED0EAD960}" name="25" dataDxfId="23" dataCellStyle="Porcentaje"/>
    <tableColumn id="28" xr3:uid="{8CA59028-53AA-4640-980D-FE8C85486DA8}" name="26" dataDxfId="22" dataCellStyle="Porcentaje"/>
    <tableColumn id="29" xr3:uid="{BCD89E03-9D1B-4948-B418-45C126E0EF68}" name="27" dataDxfId="21" dataCellStyle="Porcentaje"/>
    <tableColumn id="30" xr3:uid="{2B44B70C-3583-4CED-ADC3-BFC3CCEB8E90}" name="28" dataDxfId="20" dataCellStyle="Porcentaje"/>
    <tableColumn id="31" xr3:uid="{FCAFDF21-4223-4C66-8556-7DC329196948}" name="Columna29" dataDxfId="19" dataCellStyle="Porcentaje"/>
    <tableColumn id="32" xr3:uid="{ECF91463-8477-4344-8EF0-FF6D3D103442}" name="Columna30" dataDxfId="18" dataCellStyle="Porcentaje"/>
    <tableColumn id="33" xr3:uid="{8EC1CE6F-E56B-4339-B288-5DF3C99578D7}" name="Columna31" dataDxfId="17" dataCellStyle="Porcentaje"/>
    <tableColumn id="34" xr3:uid="{EA4229E8-3454-4BE4-93CC-8993BC143E39}" name="Columna32" dataDxfId="16" dataCellStyle="Porcentaje"/>
    <tableColumn id="35" xr3:uid="{7726FA26-845C-4EBF-98B4-9BB6FE273A15}" name="Columna33" dataDxfId="15" dataCellStyle="Porcentaje"/>
    <tableColumn id="36" xr3:uid="{5BF8A146-8EDD-4914-8DDE-C80104FC22AB}" name="Columna34" dataDxfId="14" dataCellStyle="Porcentaje"/>
    <tableColumn id="37" xr3:uid="{52151664-9E8C-4F19-9542-0C2BBF2FA4D7}" name="Columna35" dataDxfId="13" dataCellStyle="Porcentaje"/>
    <tableColumn id="38" xr3:uid="{D25BC93D-0B60-4544-A8CD-5CD125C3F420}" name="x5" dataDxfId="12" dataCellStyle="Porcentaje"/>
    <tableColumn id="39" xr3:uid="{980DC8B7-F629-43F7-8464-03D4AA3EFDD6}" name="x6" dataDxfId="11" dataCellStyle="Porcentaje"/>
    <tableColumn id="40" xr3:uid="{03F29C23-6BC3-45D2-944B-509084A1D6E3}" name="x7" dataDxfId="10" dataCellStyle="Porcentaje"/>
    <tableColumn id="41" xr3:uid="{E532E547-5B03-4DBF-9A74-11E9912A9638}" name="x8" dataDxfId="9" dataCellStyle="Porcentaje"/>
    <tableColumn id="42" xr3:uid="{1355CB18-578A-4475-A704-AF5F348C5E3C}" name="x9" dataDxfId="8" dataCellStyle="Porcentaje"/>
    <tableColumn id="43" xr3:uid="{7A8571D8-F388-4B51-9BF7-B0A0B4A28CD2}" name="x10" dataDxfId="7" dataCellStyle="Porcentaje"/>
    <tableColumn id="44" xr3:uid="{632F77A7-3C5F-488F-B6DF-F51245C571B8}" name="x11" dataDxfId="6" dataCellStyle="Porcentaje"/>
    <tableColumn id="45" xr3:uid="{C8E5C4D7-7B76-449F-A8AB-AD827A040DFE}" name="TOTAL  ASISTENCIA" dataDxfId="5">
      <calculatedColumnFormula>COUNTIF(C4:AR4,"A")</calculatedColumnFormula>
    </tableColumn>
    <tableColumn id="46" xr3:uid="{73D1AB5F-C72B-427B-9A02-ACA4A58E400A}" name="TOTAL INASISTENCIA" dataDxfId="4">
      <calculatedColumnFormula>COUNTIF(C4:AR4,"I")</calculatedColumnFormula>
    </tableColumn>
    <tableColumn id="47" xr3:uid="{DDD907D3-543C-4B99-9BFC-4C6E3298C98D}" name="TOTAL SUSPEN." dataDxfId="3">
      <calculatedColumnFormula>COUNTIF(C4:AR4,"S")</calculatedColumnFormula>
    </tableColumn>
    <tableColumn id="48" xr3:uid="{D01ADFBD-0915-40D8-8259-F68BA4B2D213}" name="TOTAL LLUVIA" dataDxfId="2">
      <calculatedColumnFormula>COUNTIF(C4:AR4,"LL")</calculatedColumnFormula>
    </tableColumn>
    <tableColumn id="49" xr3:uid="{A78B8038-C0A4-4442-9E02-A53FA23B283B}" name="TOTAL CIERRE" dataDxfId="1">
      <calculatedColumnFormula>COUNTIF(C4:AR4,"C")</calculatedColumnFormula>
    </tableColumn>
    <tableColumn id="50" xr3:uid="{BD269AD0-528B-47C1-AC0E-C54F2A426B5E}" name="% ASISTENCIA" dataDxfId="0">
      <calculatedColumnFormula>SUM(28-SUM(FEBRERO[[#This Row],[TOTAL INASISTENCIA]:[TOTAL CIERRE]]))/28</calculatedColumnFormula>
    </tableColumn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9645D-ABD9-40D7-A5BA-0BB3BCE0EE04}" name="RENDIMIENTO_ENERO" displayName="RENDIMIENTO_ENERO" ref="A4:AT14" headerRowDxfId="251" dataDxfId="250" dataCellStyle="Porcentaje">
  <autoFilter ref="A4:AT14" xr:uid="{B9BF3FE5-9BA6-4C59-94CB-04C2955D8F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</autoFilter>
  <tableColumns count="46">
    <tableColumn id="1" xr3:uid="{2066B9A1-D613-4342-BF9C-95DE97A4F69D}" name="N°" totalsRowLabel="Total" dataDxfId="249" totalsRowDxfId="248"/>
    <tableColumn id="2" xr3:uid="{B98EEF6F-F72C-41D8-848F-2AA1E2C0EBA1}" name="NOMBRE DEL ATLETA" dataDxfId="247" totalsRowDxfId="246"/>
    <tableColumn id="3" xr3:uid="{5708AF3D-D2EB-4DFE-8521-6A77C7A98E98}" name="x" dataDxfId="245" totalsRowDxfId="244" dataCellStyle="Porcentaje"/>
    <tableColumn id="4" xr3:uid="{EAE37C47-1E43-4E85-B0EC-0770CE6F5F44}" name="x2" dataDxfId="243" totalsRowDxfId="242" dataCellStyle="Porcentaje"/>
    <tableColumn id="5" xr3:uid="{F5A3CC20-FF9E-4FD5-B358-D2D8D42DBFBE}" name="x3" dataDxfId="241" totalsRowDxfId="240" dataCellStyle="Porcentaje"/>
    <tableColumn id="6" xr3:uid="{17C046D5-3E4D-437A-93C5-F35C7207AF9D}" name="x4" dataDxfId="239" totalsRowDxfId="238" dataCellStyle="Porcentaje"/>
    <tableColumn id="7" xr3:uid="{5D1A43DC-986B-46EF-BB46-0AEE985AA6B5}" name="1" dataDxfId="237" totalsRowDxfId="236" dataCellStyle="Porcentaje"/>
    <tableColumn id="8" xr3:uid="{CC1AAB66-5751-4131-B47F-33E760A9EC57}" name="2" dataDxfId="235" totalsRowDxfId="234" dataCellStyle="Porcentaje"/>
    <tableColumn id="9" xr3:uid="{2DEB3E2D-BA25-424B-815A-E5EF658BD1AF}" name="3" dataDxfId="233" totalsRowDxfId="232" dataCellStyle="Porcentaje"/>
    <tableColumn id="10" xr3:uid="{0527ADC6-7812-43AD-B6E5-A21B58A8D54B}" name="4" dataDxfId="231" totalsRowDxfId="230" dataCellStyle="Porcentaje"/>
    <tableColumn id="11" xr3:uid="{DB602B2E-8427-4A56-9524-5F53B2039CEC}" name="5" dataDxfId="229" totalsRowDxfId="228" dataCellStyle="Porcentaje"/>
    <tableColumn id="12" xr3:uid="{63DC2281-B40E-45A8-BF9A-EF189180E10A}" name="6" dataDxfId="227" totalsRowDxfId="226" dataCellStyle="Porcentaje"/>
    <tableColumn id="45" xr3:uid="{109761A4-4508-46F3-8855-655C8D9F9916}" name="7" dataDxfId="225" totalsRowDxfId="224" dataCellStyle="Porcentaje"/>
    <tableColumn id="46" xr3:uid="{868FE04C-61CD-4A95-84A6-8B42326F9EEC}" name="8" dataDxfId="223" totalsRowDxfId="222" dataCellStyle="Porcentaje"/>
    <tableColumn id="47" xr3:uid="{25296E21-9830-4C9D-8131-2AACCAF0ABEE}" name="9" dataDxfId="221" totalsRowDxfId="220" dataCellStyle="Porcentaje"/>
    <tableColumn id="48" xr3:uid="{FD35792D-DCF9-45FE-98BE-4C17FB90BC94}" name="10" dataDxfId="219" totalsRowDxfId="218" dataCellStyle="Porcentaje"/>
    <tableColumn id="49" xr3:uid="{77ECD8C6-935B-451E-86ED-905BC5A0BA00}" name="11" dataDxfId="217" totalsRowDxfId="216" dataCellStyle="Porcentaje"/>
    <tableColumn id="50" xr3:uid="{9CE9FE60-7D39-44F6-B4C7-80C49ECDD05B}" name="12" dataDxfId="215" totalsRowDxfId="214" dataCellStyle="Porcentaje"/>
    <tableColumn id="51" xr3:uid="{8D7634BC-DF84-4711-8FB9-0CD512896853}" name="13" dataDxfId="213" totalsRowDxfId="212" dataCellStyle="Porcentaje"/>
    <tableColumn id="35" xr3:uid="{EE0ADCBA-43AF-47C5-8A87-49943973D0F2}" name="14" dataDxfId="211" totalsRowDxfId="210" dataCellStyle="Porcentaje"/>
    <tableColumn id="36" xr3:uid="{13A29E26-F202-4396-8F39-AAECAA045E85}" name="15" dataDxfId="209" totalsRowDxfId="208" dataCellStyle="Porcentaje"/>
    <tableColumn id="37" xr3:uid="{4F4DF93F-C182-4324-947A-6CB731E4EBF5}" name="16" dataDxfId="207" totalsRowDxfId="206" dataCellStyle="Porcentaje"/>
    <tableColumn id="38" xr3:uid="{A553D0AD-D624-432E-BDE4-5A12A4F2CDEC}" name="17" dataDxfId="205" totalsRowDxfId="204" dataCellStyle="Porcentaje"/>
    <tableColumn id="39" xr3:uid="{7742E465-7E73-4941-8C5C-12472BE96A5F}" name="18" dataDxfId="203" totalsRowDxfId="202" dataCellStyle="Porcentaje"/>
    <tableColumn id="40" xr3:uid="{7FFDB4B5-55A6-4A74-9B3F-8A71E8E07732}" name="19" dataDxfId="201" totalsRowDxfId="200" dataCellStyle="Porcentaje"/>
    <tableColumn id="41" xr3:uid="{239445B6-2C33-45D6-B5DF-41EF2B80759C}" name="20" dataDxfId="199" totalsRowDxfId="198" dataCellStyle="Porcentaje"/>
    <tableColumn id="42" xr3:uid="{EAD08A06-4478-4A7C-803D-0F22017CADB8}" name="21" dataDxfId="197" totalsRowDxfId="196" dataCellStyle="Porcentaje"/>
    <tableColumn id="43" xr3:uid="{B8A5C1DB-B810-42D0-A9C0-A603BCC25283}" name="22" dataDxfId="195" totalsRowDxfId="194" dataCellStyle="Porcentaje"/>
    <tableColumn id="44" xr3:uid="{E426CA93-D7E0-4587-97E2-66BF68895BBD}" name="23" dataDxfId="193" totalsRowDxfId="192" dataCellStyle="Porcentaje"/>
    <tableColumn id="25" xr3:uid="{9DE62003-BAE6-4998-9BF3-12CF2C201BEE}" name="24" dataDxfId="191" totalsRowDxfId="190" dataCellStyle="Porcentaje"/>
    <tableColumn id="26" xr3:uid="{04FCE939-3705-4CA7-9706-4B5B808CFEC0}" name="25" dataDxfId="189" totalsRowDxfId="188" dataCellStyle="Porcentaje"/>
    <tableColumn id="27" xr3:uid="{EE96F9AC-0249-4599-BF0F-365943D96364}" name="26" dataDxfId="187" totalsRowDxfId="186" dataCellStyle="Porcentaje"/>
    <tableColumn id="28" xr3:uid="{B0B70F48-94B3-4895-BE88-12EFE27B824F}" name="27" dataDxfId="185" totalsRowDxfId="184" dataCellStyle="Porcentaje"/>
    <tableColumn id="29" xr3:uid="{854B505F-CD99-456A-8734-C70C2BBA510A}" name="28" dataDxfId="183" totalsRowDxfId="182" dataCellStyle="Porcentaje"/>
    <tableColumn id="30" xr3:uid="{10389FE7-C632-4787-B61C-1371A8F3FD3A}" name="29" dataDxfId="181" totalsRowDxfId="180" dataCellStyle="Porcentaje"/>
    <tableColumn id="31" xr3:uid="{944C0086-0165-4BF6-9C07-1BB1AFBE240D}" name="30" dataDxfId="179" totalsRowDxfId="178" dataCellStyle="Porcentaje"/>
    <tableColumn id="32" xr3:uid="{9917B6EF-A57F-4DFF-BC56-3BB627AD85F4}" name="31" dataDxfId="177" totalsRowDxfId="176" dataCellStyle="Porcentaje"/>
    <tableColumn id="33" xr3:uid="{E909EA4E-02C4-45A0-8B98-CF50E37D0578}" name="x5" dataDxfId="175" totalsRowDxfId="174" dataCellStyle="Porcentaje"/>
    <tableColumn id="34" xr3:uid="{34FF388A-BF9F-437E-BE15-E6F0CDC56556}" name="x6" dataDxfId="173" totalsRowDxfId="172" dataCellStyle="Porcentaje"/>
    <tableColumn id="13" xr3:uid="{2F06F760-C679-4B36-8061-C0CF87894166}" name="x7" dataDxfId="171" totalsRowDxfId="170" dataCellStyle="Porcentaje"/>
    <tableColumn id="14" xr3:uid="{E9732A15-89AA-497E-BF28-4677AB552587}" name="x8" dataDxfId="169" totalsRowDxfId="168" dataCellStyle="Porcentaje"/>
    <tableColumn id="15" xr3:uid="{C8D5A422-5C1F-44D7-8228-8213703560CB}" name="x9" dataDxfId="167" totalsRowDxfId="166" dataCellStyle="Porcentaje"/>
    <tableColumn id="16" xr3:uid="{400555E5-2B70-4FE1-8712-FE546ABE8F31}" name="x10" dataDxfId="165" totalsRowDxfId="164" dataCellStyle="Porcentaje"/>
    <tableColumn id="17" xr3:uid="{6EA36512-58FA-45FD-9B57-ED6521055190}" name="x11" dataDxfId="163" totalsRowDxfId="162" dataCellStyle="Porcentaje"/>
    <tableColumn id="23" xr3:uid="{4FE2D23F-45C6-46A7-9B0F-BBFD18A22F2D}" name="% DEL MES" dataDxfId="161" totalsRowDxfId="160" dataCellStyle="Porcentaje">
      <calculatedColumnFormula>IFERROR(AVERAGE(G5:AR5),"")</calculatedColumnFormula>
    </tableColumn>
    <tableColumn id="24" xr3:uid="{64E52CBE-CB72-4126-94DB-403DCD3D34C3}" name="MINI GRÁFICO" totalsRowFunction="count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EF4A-F359-407B-A65D-65B5E23B2163}">
  <dimension ref="A1:S12"/>
  <sheetViews>
    <sheetView showGridLines="0" tabSelected="1" workbookViewId="0">
      <selection activeCell="B3" sqref="B3"/>
    </sheetView>
  </sheetViews>
  <sheetFormatPr baseColWidth="10" defaultRowHeight="14.4" x14ac:dyDescent="0.3"/>
  <cols>
    <col min="1" max="1" width="15.21875" customWidth="1"/>
    <col min="3" max="3" width="5" bestFit="1" customWidth="1"/>
    <col min="4" max="4" width="6.33203125" bestFit="1" customWidth="1"/>
    <col min="5" max="5" width="5.109375" bestFit="1" customWidth="1"/>
    <col min="6" max="6" width="4.21875" bestFit="1" customWidth="1"/>
    <col min="7" max="8" width="4.44140625" bestFit="1" customWidth="1"/>
    <col min="9" max="9" width="4.21875" bestFit="1" customWidth="1"/>
    <col min="10" max="10" width="5.88671875" bestFit="1" customWidth="1"/>
    <col min="11" max="11" width="8.44140625" bestFit="1" customWidth="1"/>
    <col min="12" max="12" width="6.5546875" bestFit="1" customWidth="1"/>
    <col min="13" max="13" width="8.109375" bestFit="1" customWidth="1"/>
    <col min="14" max="14" width="7.6640625" bestFit="1" customWidth="1"/>
  </cols>
  <sheetData>
    <row r="1" spans="1:19" ht="147" customHeight="1" x14ac:dyDescent="0.3"/>
    <row r="2" spans="1:19" x14ac:dyDescent="0.3">
      <c r="A2" s="8" t="s">
        <v>8</v>
      </c>
      <c r="B2" s="8" t="s">
        <v>88</v>
      </c>
      <c r="C2" s="8" t="s">
        <v>75</v>
      </c>
      <c r="D2" s="8" t="s">
        <v>76</v>
      </c>
      <c r="E2" s="8" t="s">
        <v>77</v>
      </c>
      <c r="F2" s="8" t="s">
        <v>78</v>
      </c>
      <c r="G2" s="8" t="s">
        <v>79</v>
      </c>
      <c r="H2" s="8" t="s">
        <v>80</v>
      </c>
      <c r="I2" s="8" t="s">
        <v>81</v>
      </c>
      <c r="J2" s="8" t="s">
        <v>82</v>
      </c>
      <c r="K2" s="8" t="s">
        <v>83</v>
      </c>
      <c r="L2" s="8" t="s">
        <v>84</v>
      </c>
      <c r="M2" s="8" t="s">
        <v>85</v>
      </c>
      <c r="N2" s="8" t="s">
        <v>86</v>
      </c>
      <c r="O2" s="8" t="s">
        <v>87</v>
      </c>
      <c r="P2" s="8"/>
      <c r="Q2" s="8"/>
      <c r="R2" s="8"/>
      <c r="S2" s="8"/>
    </row>
    <row r="3" spans="1:19" x14ac:dyDescent="0.3">
      <c r="A3" t="s">
        <v>9</v>
      </c>
      <c r="B3" s="13">
        <f>AVERAGE(Tabla6[[#This Row],[ENERO]:[DICIEMBRE]])</f>
        <v>0.52073732718894006</v>
      </c>
      <c r="C3" s="11">
        <f>_xlfn.XLOOKUP(A3,ENERO[NOMBRE DEL ATLETA],ENERO[% ASISTENCIA])</f>
        <v>0.61290322580645162</v>
      </c>
      <c r="D3" s="11">
        <f>_xlfn.XLOOKUP(Tabla6[[#This Row],[NOMBRE DEL ATLETA]],FEBRERO[NOMBRE DEL ATLETA],FEBRERO[% ASISTENCIA])</f>
        <v>0.42857142857142855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3"/>
    </row>
    <row r="4" spans="1:19" x14ac:dyDescent="0.3">
      <c r="A4" t="s">
        <v>10</v>
      </c>
      <c r="B4" s="13">
        <f>AVERAGE(Tabla6[[#This Row],[ENERO]:[DICIEMBRE]])</f>
        <v>0.57430875576036866</v>
      </c>
      <c r="C4" s="11">
        <f>_xlfn.XLOOKUP(A4,ENERO[NOMBRE DEL ATLETA],ENERO[% ASISTENCIA])</f>
        <v>0.61290322580645162</v>
      </c>
      <c r="D4" s="11">
        <f>_xlfn.XLOOKUP(Tabla6[[#This Row],[NOMBRE DEL ATLETA]],FEBRERO[NOMBRE DEL ATLETA],FEBRERO[% ASISTENCIA])</f>
        <v>0.5357142857142857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3"/>
    </row>
    <row r="5" spans="1:19" x14ac:dyDescent="0.3">
      <c r="A5" t="s">
        <v>11</v>
      </c>
      <c r="B5" s="13">
        <f>AVERAGE(Tabla6[[#This Row],[ENERO]:[DICIEMBRE]])</f>
        <v>0.46486175115207373</v>
      </c>
      <c r="C5" s="11">
        <f>_xlfn.XLOOKUP(A5,ENERO[NOMBRE DEL ATLETA],ENERO[% ASISTENCIA])</f>
        <v>0.32258064516129031</v>
      </c>
      <c r="D5" s="11">
        <f>_xlfn.XLOOKUP(Tabla6[[#This Row],[NOMBRE DEL ATLETA]],FEBRERO[NOMBRE DEL ATLETA],FEBRERO[% ASISTENCIA])</f>
        <v>0.6071428571428571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3"/>
    </row>
    <row r="6" spans="1:19" x14ac:dyDescent="0.3">
      <c r="A6" t="s">
        <v>12</v>
      </c>
      <c r="B6" s="13">
        <f>AVERAGE(Tabla6[[#This Row],[ENERO]:[DICIEMBRE]])</f>
        <v>0.59043778801843316</v>
      </c>
      <c r="C6" s="11">
        <f>_xlfn.XLOOKUP(A6,ENERO[NOMBRE DEL ATLETA],ENERO[% ASISTENCIA])</f>
        <v>0.64516129032258063</v>
      </c>
      <c r="D6" s="11">
        <f>_xlfn.XLOOKUP(Tabla6[[#This Row],[NOMBRE DEL ATLETA]],FEBRERO[NOMBRE DEL ATLETA],FEBRERO[% ASISTENCIA])</f>
        <v>0.5357142857142857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3"/>
    </row>
    <row r="7" spans="1:19" x14ac:dyDescent="0.3">
      <c r="A7" t="s">
        <v>13</v>
      </c>
      <c r="B7" s="13">
        <f>AVERAGE(Tabla6[[#This Row],[ENERO]:[DICIEMBRE]])</f>
        <v>0.59389400921658986</v>
      </c>
      <c r="C7" s="11">
        <f>_xlfn.XLOOKUP(A7,ENERO[NOMBRE DEL ATLETA],ENERO[% ASISTENCIA])</f>
        <v>0.58064516129032262</v>
      </c>
      <c r="D7" s="11">
        <f>_xlfn.XLOOKUP(Tabla6[[#This Row],[NOMBRE DEL ATLETA]],FEBRERO[NOMBRE DEL ATLETA],FEBRERO[% ASISTENCIA])</f>
        <v>0.6071428571428571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3"/>
    </row>
    <row r="8" spans="1:19" x14ac:dyDescent="0.3">
      <c r="A8" t="s">
        <v>14</v>
      </c>
      <c r="B8" s="13">
        <f>AVERAGE(Tabla6[[#This Row],[ENERO]:[DICIEMBRE]])</f>
        <v>0.59216589861751157</v>
      </c>
      <c r="C8" s="11">
        <f>_xlfn.XLOOKUP(A8,ENERO[NOMBRE DEL ATLETA],ENERO[% ASISTENCIA])</f>
        <v>0.61290322580645162</v>
      </c>
      <c r="D8" s="11">
        <f>_xlfn.XLOOKUP(Tabla6[[#This Row],[NOMBRE DEL ATLETA]],FEBRERO[NOMBRE DEL ATLETA],FEBRERO[% ASISTENCIA])</f>
        <v>0.5714285714285714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3"/>
    </row>
    <row r="9" spans="1:19" x14ac:dyDescent="0.3">
      <c r="A9" t="s">
        <v>15</v>
      </c>
      <c r="B9" s="13">
        <f>AVERAGE(Tabla6[[#This Row],[ENERO]:[DICIEMBRE]])</f>
        <v>0.52592165898617504</v>
      </c>
      <c r="C9" s="11">
        <f>_xlfn.XLOOKUP(A9,ENERO[NOMBRE DEL ATLETA],ENERO[% ASISTENCIA])</f>
        <v>0.5161290322580645</v>
      </c>
      <c r="D9" s="11">
        <f>_xlfn.XLOOKUP(Tabla6[[#This Row],[NOMBRE DEL ATLETA]],FEBRERO[NOMBRE DEL ATLETA],FEBRERO[% ASISTENCIA])</f>
        <v>0.5357142857142857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3"/>
    </row>
    <row r="10" spans="1:19" x14ac:dyDescent="0.3">
      <c r="A10" t="s">
        <v>16</v>
      </c>
      <c r="B10" s="13">
        <f>AVERAGE(Tabla6[[#This Row],[ENERO]:[DICIEMBRE]])</f>
        <v>0.48099078341013823</v>
      </c>
      <c r="C10" s="11">
        <f>_xlfn.XLOOKUP(A10,ENERO[NOMBRE DEL ATLETA],ENERO[% ASISTENCIA])</f>
        <v>0.35483870967741937</v>
      </c>
      <c r="D10" s="11">
        <f>_xlfn.XLOOKUP(Tabla6[[#This Row],[NOMBRE DEL ATLETA]],FEBRERO[NOMBRE DEL ATLETA],FEBRERO[% ASISTENCIA])</f>
        <v>0.6071428571428571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3"/>
    </row>
    <row r="11" spans="1:19" x14ac:dyDescent="0.3">
      <c r="A11" t="s">
        <v>17</v>
      </c>
      <c r="B11" s="13">
        <f>AVERAGE(Tabla6[[#This Row],[ENERO]:[DICIEMBRE]])</f>
        <v>0.46140552995391704</v>
      </c>
      <c r="C11" s="11">
        <f>_xlfn.XLOOKUP(A11,ENERO[NOMBRE DEL ATLETA],ENERO[% ASISTENCIA])</f>
        <v>0.38709677419354838</v>
      </c>
      <c r="D11" s="11">
        <f>_xlfn.XLOOKUP(Tabla6[[#This Row],[NOMBRE DEL ATLETA]],FEBRERO[NOMBRE DEL ATLETA],FEBRERO[% ASISTENCIA])</f>
        <v>0.5357142857142857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3"/>
    </row>
    <row r="12" spans="1:19" x14ac:dyDescent="0.3">
      <c r="A12" t="s">
        <v>18</v>
      </c>
      <c r="B12" s="13">
        <f>AVERAGE(Tabla6[[#This Row],[ENERO]:[DICIEMBRE]])</f>
        <v>0.52592165898617504</v>
      </c>
      <c r="C12" s="11">
        <f>_xlfn.XLOOKUP(A12,ENERO[NOMBRE DEL ATLETA],ENERO[% ASISTENCIA])</f>
        <v>0.5161290322580645</v>
      </c>
      <c r="D12" s="11">
        <f>_xlfn.XLOOKUP(Tabla6[[#This Row],[NOMBRE DEL ATLETA]],FEBRERO[NOMBRE DEL ATLETA],FEBRERO[% ASISTENCIA])</f>
        <v>0.5357142857142857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3"/>
    </row>
  </sheetData>
  <phoneticPr fontId="5" type="noConversion"/>
  <conditionalFormatting sqref="B3:B1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{2885FFA9-5BE7-41DD-A531-02E447640828}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85FFA9-5BE7-41DD-A531-02E44764082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B3:B12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3B5EF4F-1A3F-443B-BE3F-4F2DE97EC25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'SEGUIMIENTO ASISTENCIA ANUAL'!C3:N3</xm:f>
              <xm:sqref>O3</xm:sqref>
            </x14:sparkline>
            <x14:sparkline>
              <xm:f>'SEGUIMIENTO ASISTENCIA ANUAL'!C4:N4</xm:f>
              <xm:sqref>O4</xm:sqref>
            </x14:sparkline>
            <x14:sparkline>
              <xm:f>'SEGUIMIENTO ASISTENCIA ANUAL'!C5:N5</xm:f>
              <xm:sqref>O5</xm:sqref>
            </x14:sparkline>
            <x14:sparkline>
              <xm:f>'SEGUIMIENTO ASISTENCIA ANUAL'!C6:N6</xm:f>
              <xm:sqref>O6</xm:sqref>
            </x14:sparkline>
            <x14:sparkline>
              <xm:f>'SEGUIMIENTO ASISTENCIA ANUAL'!C7:N7</xm:f>
              <xm:sqref>O7</xm:sqref>
            </x14:sparkline>
            <x14:sparkline>
              <xm:f>'SEGUIMIENTO ASISTENCIA ANUAL'!C8:N8</xm:f>
              <xm:sqref>O8</xm:sqref>
            </x14:sparkline>
            <x14:sparkline>
              <xm:f>'SEGUIMIENTO ASISTENCIA ANUAL'!C9:N9</xm:f>
              <xm:sqref>O9</xm:sqref>
            </x14:sparkline>
            <x14:sparkline>
              <xm:f>'SEGUIMIENTO ASISTENCIA ANUAL'!C10:N10</xm:f>
              <xm:sqref>O10</xm:sqref>
            </x14:sparkline>
            <x14:sparkline>
              <xm:f>'SEGUIMIENTO ASISTENCIA ANUAL'!C11:N11</xm:f>
              <xm:sqref>O11</xm:sqref>
            </x14:sparkline>
            <x14:sparkline>
              <xm:f>'SEGUIMIENTO ASISTENCIA ANUAL'!C12:N12</xm:f>
              <xm:sqref>O12</xm:sqref>
            </x14:sparkline>
          </x14:sparklines>
        </x14:sparklineGroup>
      </x14:sparklineGroup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03D7-7E46-4249-A904-240B6490DAED}">
  <dimension ref="A1:S12"/>
  <sheetViews>
    <sheetView showGridLines="0" workbookViewId="0">
      <selection activeCell="B3" sqref="B3"/>
    </sheetView>
  </sheetViews>
  <sheetFormatPr baseColWidth="10" defaultRowHeight="14.4" x14ac:dyDescent="0.3"/>
  <cols>
    <col min="1" max="1" width="15.21875" customWidth="1"/>
    <col min="3" max="3" width="5.5546875" bestFit="1" customWidth="1"/>
    <col min="4" max="4" width="6.33203125" bestFit="1" customWidth="1"/>
    <col min="5" max="5" width="5.109375" bestFit="1" customWidth="1"/>
    <col min="6" max="6" width="4.21875" bestFit="1" customWidth="1"/>
    <col min="7" max="8" width="4.44140625" bestFit="1" customWidth="1"/>
    <col min="9" max="9" width="4.21875" bestFit="1" customWidth="1"/>
    <col min="10" max="10" width="5.88671875" bestFit="1" customWidth="1"/>
    <col min="11" max="11" width="8.44140625" bestFit="1" customWidth="1"/>
    <col min="12" max="12" width="6.5546875" bestFit="1" customWidth="1"/>
    <col min="13" max="13" width="8.109375" bestFit="1" customWidth="1"/>
    <col min="14" max="14" width="7.6640625" bestFit="1" customWidth="1"/>
  </cols>
  <sheetData>
    <row r="1" spans="1:19" ht="147" customHeight="1" x14ac:dyDescent="0.3"/>
    <row r="2" spans="1:19" x14ac:dyDescent="0.3">
      <c r="A2" s="8" t="s">
        <v>8</v>
      </c>
      <c r="B2" s="8" t="s">
        <v>93</v>
      </c>
      <c r="C2" s="8" t="s">
        <v>75</v>
      </c>
      <c r="D2" s="8" t="s">
        <v>76</v>
      </c>
      <c r="E2" s="8" t="s">
        <v>77</v>
      </c>
      <c r="F2" s="8" t="s">
        <v>78</v>
      </c>
      <c r="G2" s="8" t="s">
        <v>79</v>
      </c>
      <c r="H2" s="8" t="s">
        <v>80</v>
      </c>
      <c r="I2" s="8" t="s">
        <v>81</v>
      </c>
      <c r="J2" s="8" t="s">
        <v>82</v>
      </c>
      <c r="K2" s="8" t="s">
        <v>83</v>
      </c>
      <c r="L2" s="8" t="s">
        <v>84</v>
      </c>
      <c r="M2" s="8" t="s">
        <v>85</v>
      </c>
      <c r="N2" s="8" t="s">
        <v>86</v>
      </c>
      <c r="O2" s="8" t="s">
        <v>87</v>
      </c>
      <c r="P2" s="8"/>
      <c r="Q2" s="8"/>
      <c r="R2" s="8"/>
      <c r="S2" s="8"/>
    </row>
    <row r="3" spans="1:19" x14ac:dyDescent="0.3">
      <c r="A3" t="s">
        <v>9</v>
      </c>
      <c r="B3" s="13">
        <f>AVERAGE(Tabla63[[#This Row],[ENERO]:[DICIEMBRE]])</f>
        <v>0.35</v>
      </c>
      <c r="C3" s="11">
        <f>_xlfn.XLOOKUP(A3,RENDIMIENTO_ENERO[NOMBRE DEL ATLETA],RENDIMIENTO_ENERO[% DEL MES])</f>
        <v>0.35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3"/>
    </row>
    <row r="4" spans="1:19" x14ac:dyDescent="0.3">
      <c r="A4" t="s">
        <v>10</v>
      </c>
      <c r="B4" s="13">
        <f>AVERAGE(Tabla63[[#This Row],[ENERO]:[DICIEMBRE]])</f>
        <v>0.45</v>
      </c>
      <c r="C4" s="11">
        <f>_xlfn.XLOOKUP(A4,RENDIMIENTO_ENERO[NOMBRE DEL ATLETA],RENDIMIENTO_ENERO[% DEL MES])</f>
        <v>0.45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"/>
    </row>
    <row r="5" spans="1:19" x14ac:dyDescent="0.3">
      <c r="A5" t="s">
        <v>11</v>
      </c>
      <c r="B5" s="13">
        <f>AVERAGE(Tabla63[[#This Row],[ENERO]:[DICIEMBRE]])</f>
        <v>0.35</v>
      </c>
      <c r="C5" s="11">
        <f>_xlfn.XLOOKUP(A5,RENDIMIENTO_ENERO[NOMBRE DEL ATLETA],RENDIMIENTO_ENERO[% DEL MES])</f>
        <v>0.35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3"/>
    </row>
    <row r="6" spans="1:19" x14ac:dyDescent="0.3">
      <c r="A6" t="s">
        <v>12</v>
      </c>
      <c r="B6" s="13">
        <f>AVERAGE(Tabla63[[#This Row],[ENERO]:[DICIEMBRE]])</f>
        <v>0.85</v>
      </c>
      <c r="C6" s="11">
        <f>_xlfn.XLOOKUP(A6,RENDIMIENTO_ENERO[NOMBRE DEL ATLETA],RENDIMIENTO_ENERO[% DEL MES])</f>
        <v>0.85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3"/>
    </row>
    <row r="7" spans="1:19" x14ac:dyDescent="0.3">
      <c r="A7" t="s">
        <v>13</v>
      </c>
      <c r="B7" s="13">
        <f>AVERAGE(Tabla63[[#This Row],[ENERO]:[DICIEMBRE]])</f>
        <v>0.25</v>
      </c>
      <c r="C7" s="11">
        <f>_xlfn.XLOOKUP(A7,RENDIMIENTO_ENERO[NOMBRE DEL ATLETA],RENDIMIENTO_ENERO[% DEL MES])</f>
        <v>0.25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3"/>
    </row>
    <row r="8" spans="1:19" x14ac:dyDescent="0.3">
      <c r="A8" t="s">
        <v>14</v>
      </c>
      <c r="B8" s="13">
        <f>AVERAGE(Tabla63[[#This Row],[ENERO]:[DICIEMBRE]])</f>
        <v>1</v>
      </c>
      <c r="C8" s="11">
        <f>_xlfn.XLOOKUP(A8,RENDIMIENTO_ENERO[NOMBRE DEL ATLETA],RENDIMIENTO_ENERO[% DEL MES])</f>
        <v>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3"/>
    </row>
    <row r="9" spans="1:19" x14ac:dyDescent="0.3">
      <c r="A9" t="s">
        <v>15</v>
      </c>
      <c r="B9" s="13">
        <f>AVERAGE(Tabla63[[#This Row],[ENERO]:[DICIEMBRE]])</f>
        <v>0.77500000000000002</v>
      </c>
      <c r="C9" s="11">
        <f>_xlfn.XLOOKUP(A9,RENDIMIENTO_ENERO[NOMBRE DEL ATLETA],RENDIMIENTO_ENERO[% DEL MES])</f>
        <v>0.77500000000000002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3"/>
    </row>
    <row r="10" spans="1:19" x14ac:dyDescent="0.3">
      <c r="A10" t="s">
        <v>16</v>
      </c>
      <c r="B10" s="13" t="e">
        <f>AVERAGE(Tabla63[[#This Row],[ENERO]:[DICIEMBRE]])</f>
        <v>#DIV/0!</v>
      </c>
      <c r="C10" s="11" t="str">
        <f>_xlfn.XLOOKUP(A10,RENDIMIENTO_ENERO[NOMBRE DEL ATLETA],RENDIMIENTO_ENERO[% DEL MES])</f>
        <v/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3"/>
    </row>
    <row r="11" spans="1:19" x14ac:dyDescent="0.3">
      <c r="A11" t="s">
        <v>17</v>
      </c>
      <c r="B11" s="13" t="e">
        <f>AVERAGE(Tabla63[[#This Row],[ENERO]:[DICIEMBRE]])</f>
        <v>#DIV/0!</v>
      </c>
      <c r="C11" s="11" t="str">
        <f>_xlfn.XLOOKUP(A11,RENDIMIENTO_ENERO[NOMBRE DEL ATLETA],RENDIMIENTO_ENERO[% DEL MES])</f>
        <v/>
      </c>
      <c r="D11" s="11" t="str">
        <f>_xlfn.XLOOKUP(A11,RENDIMIENTO_ENERO[NOMBRE DEL ATLETA],RENDIMIENTO_ENERO[% DEL MES])</f>
        <v/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3"/>
    </row>
    <row r="12" spans="1:19" x14ac:dyDescent="0.3">
      <c r="A12" t="s">
        <v>18</v>
      </c>
      <c r="B12" s="13" t="e">
        <f>AVERAGE(Tabla63[[#This Row],[ENERO]:[DICIEMBRE]])</f>
        <v>#DIV/0!</v>
      </c>
      <c r="C12" s="11" t="str">
        <f>_xlfn.XLOOKUP(A12,RENDIMIENTO_ENERO[NOMBRE DEL ATLETA],RENDIMIENTO_ENERO[% DEL MES])</f>
        <v/>
      </c>
      <c r="D12" s="11" t="str">
        <f>_xlfn.XLOOKUP(A12,RENDIMIENTO_ENERO[NOMBRE DEL ATLETA],RENDIMIENTO_ENERO[% DEL MES])</f>
        <v/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3"/>
    </row>
  </sheetData>
  <conditionalFormatting sqref="B3:B1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{ED54B4D7-46D7-4C58-ADC3-2FF798095547}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54B4D7-46D7-4C58-ADC3-2FF79809554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B3:B12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08B844C-3AF9-42EE-9A76-C79B3B4FD2BB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'SEGUIMIENTO RENDIMIENTO ANUAL'!C3:N3</xm:f>
              <xm:sqref>O3</xm:sqref>
            </x14:sparkline>
            <x14:sparkline>
              <xm:f>'SEGUIMIENTO RENDIMIENTO ANUAL'!C4:N4</xm:f>
              <xm:sqref>O4</xm:sqref>
            </x14:sparkline>
            <x14:sparkline>
              <xm:f>'SEGUIMIENTO RENDIMIENTO ANUAL'!C5:N5</xm:f>
              <xm:sqref>O5</xm:sqref>
            </x14:sparkline>
            <x14:sparkline>
              <xm:f>'SEGUIMIENTO RENDIMIENTO ANUAL'!C6:N6</xm:f>
              <xm:sqref>O6</xm:sqref>
            </x14:sparkline>
            <x14:sparkline>
              <xm:f>'SEGUIMIENTO RENDIMIENTO ANUAL'!C7:N7</xm:f>
              <xm:sqref>O7</xm:sqref>
            </x14:sparkline>
            <x14:sparkline>
              <xm:f>'SEGUIMIENTO RENDIMIENTO ANUAL'!C8:N8</xm:f>
              <xm:sqref>O8</xm:sqref>
            </x14:sparkline>
            <x14:sparkline>
              <xm:f>'SEGUIMIENTO RENDIMIENTO ANUAL'!C9:N9</xm:f>
              <xm:sqref>O9</xm:sqref>
            </x14:sparkline>
            <x14:sparkline>
              <xm:f>'SEGUIMIENTO RENDIMIENTO ANUAL'!C10:N10</xm:f>
              <xm:sqref>O10</xm:sqref>
            </x14:sparkline>
            <x14:sparkline>
              <xm:f>'SEGUIMIENTO RENDIMIENTO ANUAL'!C11:N11</xm:f>
              <xm:sqref>O11</xm:sqref>
            </x14:sparkline>
            <x14:sparkline>
              <xm:f>'SEGUIMIENTO RENDIMIENTO ANUAL'!C12:N12</xm:f>
              <xm:sqref>O12</xm:sqref>
            </x14:sparkline>
          </x14:sparklines>
        </x14:sparklineGroup>
      </x14:sparklineGroup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5692-5EDA-4AA9-991F-4FF4C344C011}">
  <dimension ref="A1:AY13"/>
  <sheetViews>
    <sheetView showGridLines="0" zoomScale="90" zoomScaleNormal="90" workbookViewId="0">
      <selection activeCell="A2" sqref="A2:XFD2"/>
    </sheetView>
  </sheetViews>
  <sheetFormatPr baseColWidth="10" defaultRowHeight="14.4" outlineLevelCol="1" x14ac:dyDescent="0.3"/>
  <cols>
    <col min="1" max="1" width="5.88671875" style="2" customWidth="1"/>
    <col min="2" max="2" width="29.33203125" customWidth="1"/>
    <col min="3" max="3" width="3.109375" style="3" hidden="1" customWidth="1" outlineLevel="1"/>
    <col min="4" max="4" width="2.77734375" style="3" hidden="1" customWidth="1" outlineLevel="1"/>
    <col min="5" max="5" width="3.88671875" style="3" hidden="1" customWidth="1" outlineLevel="1"/>
    <col min="6" max="6" width="2.88671875" style="3" hidden="1" customWidth="1" outlineLevel="1"/>
    <col min="7" max="7" width="2.77734375" style="3" bestFit="1" customWidth="1" collapsed="1"/>
    <col min="8" max="9" width="2.88671875" style="3" bestFit="1" customWidth="1"/>
    <col min="10" max="10" width="3" style="3" customWidth="1"/>
    <col min="11" max="11" width="2.77734375" style="3" bestFit="1" customWidth="1"/>
    <col min="12" max="12" width="3.44140625" style="3" bestFit="1" customWidth="1"/>
    <col min="13" max="14" width="2.77734375" style="3" bestFit="1" customWidth="1"/>
    <col min="15" max="15" width="2.88671875" style="3" bestFit="1" customWidth="1"/>
    <col min="16" max="16" width="4.33203125" style="3" bestFit="1" customWidth="1"/>
    <col min="17" max="17" width="6" style="3" customWidth="1"/>
    <col min="18" max="21" width="4.33203125" style="3" bestFit="1" customWidth="1"/>
    <col min="22" max="22" width="6" style="3" customWidth="1"/>
    <col min="23" max="23" width="4.33203125" style="3" bestFit="1" customWidth="1"/>
    <col min="24" max="27" width="4.33203125" bestFit="1" customWidth="1"/>
    <col min="28" max="28" width="6" customWidth="1"/>
    <col min="29" max="31" width="4.33203125" bestFit="1" customWidth="1"/>
    <col min="32" max="32" width="6" customWidth="1"/>
    <col min="33" max="37" width="4.33203125" bestFit="1" customWidth="1"/>
    <col min="38" max="44" width="4.33203125" hidden="1" customWidth="1" outlineLevel="1"/>
    <col min="45" max="45" width="7.88671875" customWidth="1" collapsed="1"/>
    <col min="46" max="49" width="7.88671875" customWidth="1"/>
  </cols>
  <sheetData>
    <row r="1" spans="1:51" ht="21" x14ac:dyDescent="0.3">
      <c r="A1" s="6" t="s">
        <v>19</v>
      </c>
      <c r="B1" s="6"/>
      <c r="C1" s="6"/>
      <c r="D1" s="6"/>
      <c r="J1" s="6" t="s">
        <v>25</v>
      </c>
      <c r="K1" s="6"/>
      <c r="L1" s="6"/>
      <c r="M1" s="6"/>
      <c r="N1" s="6"/>
      <c r="O1" s="6"/>
      <c r="Q1" s="6" t="s">
        <v>26</v>
      </c>
      <c r="R1" s="6"/>
      <c r="S1" s="6"/>
      <c r="T1" s="6"/>
      <c r="U1" s="6"/>
      <c r="V1" s="6" t="s">
        <v>27</v>
      </c>
      <c r="W1" s="6"/>
      <c r="X1" s="6"/>
      <c r="Y1" s="6"/>
      <c r="Z1" s="6"/>
      <c r="AA1" s="3"/>
      <c r="AB1" s="6" t="s">
        <v>28</v>
      </c>
      <c r="AC1" s="6"/>
      <c r="AF1" s="6" t="s">
        <v>29</v>
      </c>
    </row>
    <row r="2" spans="1:51" ht="21" x14ac:dyDescent="0.3">
      <c r="A2" s="1"/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6</v>
      </c>
      <c r="X2" s="1" t="s">
        <v>0</v>
      </c>
      <c r="Y2" s="1" t="s">
        <v>1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0</v>
      </c>
      <c r="AF2" s="1" t="s">
        <v>1</v>
      </c>
      <c r="AG2" s="1" t="s">
        <v>2</v>
      </c>
      <c r="AH2" s="1" t="s">
        <v>3</v>
      </c>
      <c r="AI2" s="1" t="s">
        <v>4</v>
      </c>
      <c r="AJ2" s="1" t="s">
        <v>5</v>
      </c>
      <c r="AK2" s="1" t="s">
        <v>6</v>
      </c>
      <c r="AL2" s="1" t="s">
        <v>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/>
      <c r="AT2" s="1"/>
      <c r="AU2" s="1"/>
      <c r="AV2" s="1"/>
      <c r="AW2" s="1"/>
      <c r="AX2" s="1"/>
      <c r="AY2" s="1"/>
    </row>
    <row r="3" spans="1:51" ht="32.4" x14ac:dyDescent="0.3">
      <c r="A3" s="1" t="s">
        <v>7</v>
      </c>
      <c r="B3" s="1" t="s">
        <v>8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 t="s">
        <v>43</v>
      </c>
      <c r="U3" s="1" t="s">
        <v>44</v>
      </c>
      <c r="V3" s="1" t="s">
        <v>45</v>
      </c>
      <c r="W3" s="1" t="s">
        <v>46</v>
      </c>
      <c r="X3" s="1" t="s">
        <v>47</v>
      </c>
      <c r="Y3" s="1" t="s">
        <v>48</v>
      </c>
      <c r="Z3" s="1" t="s">
        <v>49</v>
      </c>
      <c r="AA3" s="1" t="s">
        <v>50</v>
      </c>
      <c r="AB3" s="1" t="s">
        <v>51</v>
      </c>
      <c r="AC3" s="1" t="s">
        <v>52</v>
      </c>
      <c r="AD3" s="1" t="s">
        <v>53</v>
      </c>
      <c r="AE3" s="1" t="s">
        <v>54</v>
      </c>
      <c r="AF3" s="1" t="s">
        <v>55</v>
      </c>
      <c r="AG3" s="1" t="s">
        <v>56</v>
      </c>
      <c r="AH3" s="1" t="s">
        <v>57</v>
      </c>
      <c r="AI3" s="1" t="s">
        <v>58</v>
      </c>
      <c r="AJ3" s="1" t="s">
        <v>59</v>
      </c>
      <c r="AK3" s="1" t="s">
        <v>60</v>
      </c>
      <c r="AL3" s="1" t="s">
        <v>65</v>
      </c>
      <c r="AM3" s="1" t="s">
        <v>66</v>
      </c>
      <c r="AN3" s="1" t="s">
        <v>67</v>
      </c>
      <c r="AO3" s="1" t="s">
        <v>68</v>
      </c>
      <c r="AP3" s="1" t="s">
        <v>69</v>
      </c>
      <c r="AQ3" s="1" t="s">
        <v>70</v>
      </c>
      <c r="AR3" s="1" t="s">
        <v>71</v>
      </c>
      <c r="AS3" s="5" t="s">
        <v>21</v>
      </c>
      <c r="AT3" s="5" t="s">
        <v>20</v>
      </c>
      <c r="AU3" s="5" t="s">
        <v>24</v>
      </c>
      <c r="AV3" s="5" t="s">
        <v>22</v>
      </c>
      <c r="AW3" s="5" t="s">
        <v>23</v>
      </c>
      <c r="AX3" s="5" t="s">
        <v>88</v>
      </c>
    </row>
    <row r="4" spans="1:51" x14ac:dyDescent="0.3">
      <c r="A4" s="2">
        <v>1</v>
      </c>
      <c r="B4" s="7" t="s">
        <v>9</v>
      </c>
      <c r="C4" s="4"/>
      <c r="D4" s="4"/>
      <c r="E4" s="4"/>
      <c r="F4" s="4"/>
      <c r="G4" s="4" t="s">
        <v>72</v>
      </c>
      <c r="H4" s="4" t="s">
        <v>74</v>
      </c>
      <c r="I4" s="4" t="s">
        <v>72</v>
      </c>
      <c r="J4" s="4" t="s">
        <v>73</v>
      </c>
      <c r="K4" s="4" t="s">
        <v>72</v>
      </c>
      <c r="L4" s="4" t="s">
        <v>72</v>
      </c>
      <c r="M4" s="4" t="s">
        <v>74</v>
      </c>
      <c r="N4" s="4" t="s">
        <v>74</v>
      </c>
      <c r="O4" s="4" t="s">
        <v>72</v>
      </c>
      <c r="P4" s="4" t="s">
        <v>74</v>
      </c>
      <c r="Q4" s="4" t="s">
        <v>72</v>
      </c>
      <c r="R4" s="4" t="s">
        <v>74</v>
      </c>
      <c r="S4" s="4" t="s">
        <v>72</v>
      </c>
      <c r="T4" s="4" t="s">
        <v>72</v>
      </c>
      <c r="U4" s="4" t="s">
        <v>74</v>
      </c>
      <c r="V4" s="4" t="s">
        <v>72</v>
      </c>
      <c r="W4" s="4" t="s">
        <v>73</v>
      </c>
      <c r="X4" s="4" t="s">
        <v>72</v>
      </c>
      <c r="Y4" s="4" t="s">
        <v>72</v>
      </c>
      <c r="Z4" s="4" t="s">
        <v>74</v>
      </c>
      <c r="AA4" s="4" t="s">
        <v>74</v>
      </c>
      <c r="AB4" s="4" t="s">
        <v>72</v>
      </c>
      <c r="AC4" s="4" t="s">
        <v>74</v>
      </c>
      <c r="AD4" s="4" t="s">
        <v>72</v>
      </c>
      <c r="AE4" s="4" t="s">
        <v>74</v>
      </c>
      <c r="AF4" s="4" t="s">
        <v>72</v>
      </c>
      <c r="AG4" s="4" t="s">
        <v>72</v>
      </c>
      <c r="AH4" s="4" t="s">
        <v>72</v>
      </c>
      <c r="AI4" s="4" t="s">
        <v>72</v>
      </c>
      <c r="AJ4" s="4" t="s">
        <v>72</v>
      </c>
      <c r="AK4" s="4" t="s">
        <v>72</v>
      </c>
      <c r="AL4" s="4"/>
      <c r="AM4" s="4"/>
      <c r="AN4" s="4"/>
      <c r="AO4" s="4"/>
      <c r="AP4" s="4"/>
      <c r="AQ4" s="4"/>
      <c r="AR4" s="4"/>
      <c r="AS4" s="3">
        <f>COUNTIF(C4:AR4,"A")</f>
        <v>19</v>
      </c>
      <c r="AT4" s="3">
        <f>COUNTIF(C4:AR4,"I")</f>
        <v>10</v>
      </c>
      <c r="AU4" s="3">
        <f>COUNTIF(C4:AR4,"S")</f>
        <v>0</v>
      </c>
      <c r="AV4" s="3">
        <f>COUNTIF(C4:AR4,"LL")</f>
        <v>2</v>
      </c>
      <c r="AW4" s="3">
        <f>COUNTIF(C4:AR4,"C")</f>
        <v>0</v>
      </c>
      <c r="AX4" s="9">
        <f>SUM(31-SUM(ENERO[[#This Row],[TOTAL INASISTENCIA]:[TOTAL CIERRE]]))/31</f>
        <v>0.61290322580645162</v>
      </c>
    </row>
    <row r="5" spans="1:51" x14ac:dyDescent="0.3">
      <c r="A5" s="2">
        <v>2</v>
      </c>
      <c r="B5" s="7" t="s">
        <v>10</v>
      </c>
      <c r="C5" s="4"/>
      <c r="D5" s="4"/>
      <c r="E5" s="4"/>
      <c r="F5" s="4"/>
      <c r="G5" s="4" t="s">
        <v>72</v>
      </c>
      <c r="H5" s="4" t="s">
        <v>72</v>
      </c>
      <c r="I5" s="4" t="s">
        <v>72</v>
      </c>
      <c r="J5" s="4" t="s">
        <v>72</v>
      </c>
      <c r="K5" s="4" t="s">
        <v>74</v>
      </c>
      <c r="L5" s="4" t="s">
        <v>72</v>
      </c>
      <c r="M5" s="4" t="s">
        <v>73</v>
      </c>
      <c r="N5" s="4" t="s">
        <v>72</v>
      </c>
      <c r="O5" s="4" t="s">
        <v>72</v>
      </c>
      <c r="P5" s="4" t="s">
        <v>74</v>
      </c>
      <c r="Q5" s="4" t="s">
        <v>74</v>
      </c>
      <c r="R5" s="4" t="s">
        <v>72</v>
      </c>
      <c r="S5" s="4" t="s">
        <v>74</v>
      </c>
      <c r="T5" s="4" t="s">
        <v>72</v>
      </c>
      <c r="U5" s="4" t="s">
        <v>74</v>
      </c>
      <c r="V5" s="4" t="s">
        <v>72</v>
      </c>
      <c r="W5" s="4" t="s">
        <v>72</v>
      </c>
      <c r="X5" s="4" t="s">
        <v>74</v>
      </c>
      <c r="Y5" s="4" t="s">
        <v>72</v>
      </c>
      <c r="Z5" s="4" t="s">
        <v>73</v>
      </c>
      <c r="AA5" s="4" t="s">
        <v>72</v>
      </c>
      <c r="AB5" s="4" t="s">
        <v>72</v>
      </c>
      <c r="AC5" s="4" t="s">
        <v>74</v>
      </c>
      <c r="AD5" s="4" t="s">
        <v>74</v>
      </c>
      <c r="AE5" s="4" t="s">
        <v>72</v>
      </c>
      <c r="AF5" s="4" t="s">
        <v>74</v>
      </c>
      <c r="AG5" s="4" t="s">
        <v>72</v>
      </c>
      <c r="AH5" s="4" t="s">
        <v>74</v>
      </c>
      <c r="AI5" s="4" t="s">
        <v>72</v>
      </c>
      <c r="AJ5" s="4" t="s">
        <v>72</v>
      </c>
      <c r="AK5" s="4" t="s">
        <v>72</v>
      </c>
      <c r="AL5" s="4"/>
      <c r="AM5" s="4"/>
      <c r="AN5" s="4"/>
      <c r="AO5" s="4"/>
      <c r="AP5" s="4"/>
      <c r="AQ5" s="4"/>
      <c r="AR5" s="4"/>
      <c r="AS5" s="3">
        <f t="shared" ref="AS5:AS13" si="0">COUNTIF(C5:AR5,"A")</f>
        <v>19</v>
      </c>
      <c r="AT5" s="3">
        <f t="shared" ref="AT5:AT13" si="1">COUNTIF(C5:AR5,"I")</f>
        <v>10</v>
      </c>
      <c r="AU5" s="3">
        <f t="shared" ref="AU5:AU13" si="2">COUNTIF(C5:AR5,"S")</f>
        <v>0</v>
      </c>
      <c r="AV5" s="3">
        <f t="shared" ref="AV5:AV13" si="3">COUNTIF(C5:AR5,"LL")</f>
        <v>2</v>
      </c>
      <c r="AW5" s="3">
        <f t="shared" ref="AW5:AW13" si="4">COUNTIF(C5:AR5,"C")</f>
        <v>0</v>
      </c>
      <c r="AX5" s="9">
        <f>SUM(31-SUM(ENERO[[#This Row],[TOTAL INASISTENCIA]:[TOTAL CIERRE]]))/31</f>
        <v>0.61290322580645162</v>
      </c>
    </row>
    <row r="6" spans="1:51" x14ac:dyDescent="0.3">
      <c r="A6" s="2">
        <v>3</v>
      </c>
      <c r="B6" s="7" t="s">
        <v>11</v>
      </c>
      <c r="C6" s="4"/>
      <c r="D6" s="4"/>
      <c r="E6" s="4"/>
      <c r="F6" s="4"/>
      <c r="G6" s="4" t="s">
        <v>74</v>
      </c>
      <c r="H6" s="4" t="s">
        <v>74</v>
      </c>
      <c r="I6" s="4" t="s">
        <v>74</v>
      </c>
      <c r="J6" s="4" t="s">
        <v>74</v>
      </c>
      <c r="K6" s="4" t="s">
        <v>74</v>
      </c>
      <c r="L6" s="4" t="s">
        <v>74</v>
      </c>
      <c r="M6" s="4" t="s">
        <v>74</v>
      </c>
      <c r="N6" s="4" t="s">
        <v>74</v>
      </c>
      <c r="O6" s="4" t="s">
        <v>74</v>
      </c>
      <c r="P6" s="4" t="s">
        <v>74</v>
      </c>
      <c r="Q6" s="4" t="s">
        <v>72</v>
      </c>
      <c r="R6" s="4" t="s">
        <v>73</v>
      </c>
      <c r="S6" s="4" t="s">
        <v>72</v>
      </c>
      <c r="T6" s="4" t="s">
        <v>72</v>
      </c>
      <c r="U6" s="4" t="s">
        <v>74</v>
      </c>
      <c r="V6" s="4" t="s">
        <v>74</v>
      </c>
      <c r="W6" s="4" t="s">
        <v>72</v>
      </c>
      <c r="X6" s="4" t="s">
        <v>74</v>
      </c>
      <c r="Y6" s="4" t="s">
        <v>72</v>
      </c>
      <c r="Z6" s="4" t="s">
        <v>74</v>
      </c>
      <c r="AA6" s="4" t="s">
        <v>72</v>
      </c>
      <c r="AB6" s="4" t="s">
        <v>72</v>
      </c>
      <c r="AC6" s="4" t="s">
        <v>74</v>
      </c>
      <c r="AD6" s="4" t="s">
        <v>72</v>
      </c>
      <c r="AE6" s="4" t="s">
        <v>73</v>
      </c>
      <c r="AF6" s="4" t="s">
        <v>72</v>
      </c>
      <c r="AG6" s="4" t="s">
        <v>72</v>
      </c>
      <c r="AH6" s="4" t="s">
        <v>74</v>
      </c>
      <c r="AI6" s="4" t="s">
        <v>74</v>
      </c>
      <c r="AJ6" s="4" t="s">
        <v>72</v>
      </c>
      <c r="AK6" s="4" t="s">
        <v>74</v>
      </c>
      <c r="AL6" s="4" t="s">
        <v>72</v>
      </c>
      <c r="AM6" s="4" t="s">
        <v>74</v>
      </c>
      <c r="AN6" s="4" t="s">
        <v>72</v>
      </c>
      <c r="AO6" s="4"/>
      <c r="AP6" s="4"/>
      <c r="AQ6" s="4"/>
      <c r="AR6" s="4"/>
      <c r="AS6" s="3">
        <f t="shared" si="0"/>
        <v>13</v>
      </c>
      <c r="AT6" s="3">
        <f t="shared" si="1"/>
        <v>19</v>
      </c>
      <c r="AU6" s="3">
        <f t="shared" si="2"/>
        <v>0</v>
      </c>
      <c r="AV6" s="3">
        <f t="shared" si="3"/>
        <v>2</v>
      </c>
      <c r="AW6" s="3">
        <f t="shared" si="4"/>
        <v>0</v>
      </c>
      <c r="AX6" s="9">
        <f>SUM(31-SUM(ENERO[[#This Row],[TOTAL INASISTENCIA]:[TOTAL CIERRE]]))/31</f>
        <v>0.32258064516129031</v>
      </c>
    </row>
    <row r="7" spans="1:51" x14ac:dyDescent="0.3">
      <c r="A7" s="2">
        <v>4</v>
      </c>
      <c r="B7" s="7" t="s">
        <v>12</v>
      </c>
      <c r="C7" s="4"/>
      <c r="D7" s="4"/>
      <c r="E7" s="4"/>
      <c r="F7" s="4"/>
      <c r="G7" s="4" t="s">
        <v>72</v>
      </c>
      <c r="H7" s="4" t="s">
        <v>72</v>
      </c>
      <c r="I7" s="4" t="s">
        <v>72</v>
      </c>
      <c r="J7" s="4" t="s">
        <v>72</v>
      </c>
      <c r="K7" s="4" t="s">
        <v>73</v>
      </c>
      <c r="L7" s="4" t="s">
        <v>72</v>
      </c>
      <c r="M7" s="4" t="s">
        <v>72</v>
      </c>
      <c r="N7" s="4" t="s">
        <v>74</v>
      </c>
      <c r="O7" s="4" t="s">
        <v>74</v>
      </c>
      <c r="P7" s="4" t="s">
        <v>72</v>
      </c>
      <c r="Q7" s="4" t="s">
        <v>74</v>
      </c>
      <c r="R7" s="4" t="s">
        <v>72</v>
      </c>
      <c r="S7" s="4" t="s">
        <v>74</v>
      </c>
      <c r="T7" s="4" t="s">
        <v>72</v>
      </c>
      <c r="U7" s="4" t="s">
        <v>72</v>
      </c>
      <c r="V7" s="4" t="s">
        <v>74</v>
      </c>
      <c r="W7" s="4" t="s">
        <v>72</v>
      </c>
      <c r="X7" s="4" t="s">
        <v>73</v>
      </c>
      <c r="Y7" s="4" t="s">
        <v>72</v>
      </c>
      <c r="Z7" s="4" t="s">
        <v>72</v>
      </c>
      <c r="AA7" s="4" t="s">
        <v>74</v>
      </c>
      <c r="AB7" s="4" t="s">
        <v>74</v>
      </c>
      <c r="AC7" s="4" t="s">
        <v>72</v>
      </c>
      <c r="AD7" s="4" t="s">
        <v>74</v>
      </c>
      <c r="AE7" s="4" t="s">
        <v>72</v>
      </c>
      <c r="AF7" s="4" t="s">
        <v>74</v>
      </c>
      <c r="AG7" s="4" t="s">
        <v>72</v>
      </c>
      <c r="AH7" s="4" t="s">
        <v>72</v>
      </c>
      <c r="AI7" s="4" t="s">
        <v>72</v>
      </c>
      <c r="AJ7" s="4" t="s">
        <v>72</v>
      </c>
      <c r="AK7" s="4" t="s">
        <v>72</v>
      </c>
      <c r="AL7" s="4"/>
      <c r="AM7" s="4"/>
      <c r="AN7" s="4"/>
      <c r="AO7" s="4"/>
      <c r="AP7" s="4"/>
      <c r="AQ7" s="4"/>
      <c r="AR7" s="4"/>
      <c r="AS7" s="3">
        <f t="shared" si="0"/>
        <v>20</v>
      </c>
      <c r="AT7" s="3">
        <f t="shared" si="1"/>
        <v>9</v>
      </c>
      <c r="AU7" s="3">
        <f t="shared" si="2"/>
        <v>0</v>
      </c>
      <c r="AV7" s="3">
        <f t="shared" si="3"/>
        <v>2</v>
      </c>
      <c r="AW7" s="3">
        <f t="shared" si="4"/>
        <v>0</v>
      </c>
      <c r="AX7" s="9">
        <f>SUM(31-SUM(ENERO[[#This Row],[TOTAL INASISTENCIA]:[TOTAL CIERRE]]))/31</f>
        <v>0.64516129032258063</v>
      </c>
    </row>
    <row r="8" spans="1:51" x14ac:dyDescent="0.3">
      <c r="A8" s="2">
        <v>5</v>
      </c>
      <c r="B8" s="7" t="s">
        <v>13</v>
      </c>
      <c r="C8" s="4"/>
      <c r="D8" s="4"/>
      <c r="E8" s="4"/>
      <c r="F8" s="4"/>
      <c r="G8" s="4" t="s">
        <v>72</v>
      </c>
      <c r="H8" s="4" t="s">
        <v>72</v>
      </c>
      <c r="I8" s="4" t="s">
        <v>72</v>
      </c>
      <c r="J8" s="4" t="s">
        <v>72</v>
      </c>
      <c r="K8" s="4" t="s">
        <v>72</v>
      </c>
      <c r="L8" s="4" t="s">
        <v>72</v>
      </c>
      <c r="M8" s="4" t="s">
        <v>74</v>
      </c>
      <c r="N8" s="4" t="s">
        <v>74</v>
      </c>
      <c r="O8" s="4" t="s">
        <v>72</v>
      </c>
      <c r="P8" s="4" t="s">
        <v>74</v>
      </c>
      <c r="Q8" s="4" t="s">
        <v>72</v>
      </c>
      <c r="R8" s="4" t="s">
        <v>74</v>
      </c>
      <c r="S8" s="4" t="s">
        <v>72</v>
      </c>
      <c r="T8" s="4" t="s">
        <v>72</v>
      </c>
      <c r="U8" s="4" t="s">
        <v>72</v>
      </c>
      <c r="V8" s="4" t="s">
        <v>72</v>
      </c>
      <c r="W8" s="4" t="s">
        <v>74</v>
      </c>
      <c r="X8" s="4" t="s">
        <v>74</v>
      </c>
      <c r="Y8" s="4" t="s">
        <v>72</v>
      </c>
      <c r="Z8" s="4" t="s">
        <v>74</v>
      </c>
      <c r="AA8" s="4" t="s">
        <v>72</v>
      </c>
      <c r="AB8" s="4" t="s">
        <v>74</v>
      </c>
      <c r="AC8" s="4" t="s">
        <v>72</v>
      </c>
      <c r="AD8" s="4" t="s">
        <v>72</v>
      </c>
      <c r="AE8" s="4" t="s">
        <v>73</v>
      </c>
      <c r="AF8" s="4" t="s">
        <v>72</v>
      </c>
      <c r="AG8" s="4" t="s">
        <v>72</v>
      </c>
      <c r="AH8" s="4" t="s">
        <v>74</v>
      </c>
      <c r="AI8" s="4" t="s">
        <v>74</v>
      </c>
      <c r="AJ8" s="4" t="s">
        <v>72</v>
      </c>
      <c r="AK8" s="4" t="s">
        <v>74</v>
      </c>
      <c r="AL8" s="4" t="s">
        <v>72</v>
      </c>
      <c r="AM8" s="4" t="s">
        <v>74</v>
      </c>
      <c r="AN8" s="4" t="s">
        <v>72</v>
      </c>
      <c r="AO8" s="4"/>
      <c r="AP8" s="4"/>
      <c r="AQ8" s="4"/>
      <c r="AR8" s="4"/>
      <c r="AS8" s="3">
        <f t="shared" si="0"/>
        <v>21</v>
      </c>
      <c r="AT8" s="3">
        <f t="shared" si="1"/>
        <v>12</v>
      </c>
      <c r="AU8" s="3">
        <f t="shared" si="2"/>
        <v>0</v>
      </c>
      <c r="AV8" s="3">
        <f t="shared" si="3"/>
        <v>1</v>
      </c>
      <c r="AW8" s="3">
        <f t="shared" si="4"/>
        <v>0</v>
      </c>
      <c r="AX8" s="9">
        <f>SUM(31-SUM(ENERO[[#This Row],[TOTAL INASISTENCIA]:[TOTAL CIERRE]]))/31</f>
        <v>0.58064516129032262</v>
      </c>
    </row>
    <row r="9" spans="1:51" x14ac:dyDescent="0.3">
      <c r="A9" s="2">
        <v>6</v>
      </c>
      <c r="B9" s="7" t="s">
        <v>14</v>
      </c>
      <c r="C9" s="4"/>
      <c r="D9" s="4"/>
      <c r="E9" s="4"/>
      <c r="F9" s="4"/>
      <c r="G9" s="4" t="s">
        <v>72</v>
      </c>
      <c r="H9" s="4" t="s">
        <v>74</v>
      </c>
      <c r="I9" s="4" t="s">
        <v>72</v>
      </c>
      <c r="J9" s="4" t="s">
        <v>73</v>
      </c>
      <c r="K9" s="4" t="s">
        <v>72</v>
      </c>
      <c r="L9" s="4" t="s">
        <v>72</v>
      </c>
      <c r="M9" s="4" t="s">
        <v>74</v>
      </c>
      <c r="N9" s="4" t="s">
        <v>74</v>
      </c>
      <c r="O9" s="4" t="s">
        <v>72</v>
      </c>
      <c r="P9" s="4" t="s">
        <v>74</v>
      </c>
      <c r="Q9" s="4" t="s">
        <v>72</v>
      </c>
      <c r="R9" s="4" t="s">
        <v>74</v>
      </c>
      <c r="S9" s="4" t="s">
        <v>72</v>
      </c>
      <c r="T9" s="4" t="s">
        <v>72</v>
      </c>
      <c r="U9" s="4" t="s">
        <v>74</v>
      </c>
      <c r="V9" s="4" t="s">
        <v>72</v>
      </c>
      <c r="W9" s="4" t="s">
        <v>73</v>
      </c>
      <c r="X9" s="4" t="s">
        <v>72</v>
      </c>
      <c r="Y9" s="4" t="s">
        <v>72</v>
      </c>
      <c r="Z9" s="4" t="s">
        <v>74</v>
      </c>
      <c r="AA9" s="4" t="s">
        <v>74</v>
      </c>
      <c r="AB9" s="4" t="s">
        <v>72</v>
      </c>
      <c r="AC9" s="4" t="s">
        <v>74</v>
      </c>
      <c r="AD9" s="4" t="s">
        <v>72</v>
      </c>
      <c r="AE9" s="4" t="s">
        <v>74</v>
      </c>
      <c r="AF9" s="4" t="s">
        <v>72</v>
      </c>
      <c r="AG9" s="4" t="s">
        <v>72</v>
      </c>
      <c r="AH9" s="4" t="s">
        <v>72</v>
      </c>
      <c r="AI9" s="4" t="s">
        <v>72</v>
      </c>
      <c r="AJ9" s="4" t="s">
        <v>72</v>
      </c>
      <c r="AK9" s="4" t="s">
        <v>72</v>
      </c>
      <c r="AL9" s="4"/>
      <c r="AM9" s="4"/>
      <c r="AN9" s="4"/>
      <c r="AO9" s="4"/>
      <c r="AP9" s="4"/>
      <c r="AQ9" s="4"/>
      <c r="AR9" s="4"/>
      <c r="AS9" s="3">
        <f t="shared" si="0"/>
        <v>19</v>
      </c>
      <c r="AT9" s="3">
        <f t="shared" si="1"/>
        <v>10</v>
      </c>
      <c r="AU9" s="3">
        <f t="shared" si="2"/>
        <v>0</v>
      </c>
      <c r="AV9" s="3">
        <f t="shared" si="3"/>
        <v>2</v>
      </c>
      <c r="AW9" s="3">
        <f t="shared" si="4"/>
        <v>0</v>
      </c>
      <c r="AX9" s="9">
        <f>SUM(31-SUM(ENERO[[#This Row],[TOTAL INASISTENCIA]:[TOTAL CIERRE]]))/31</f>
        <v>0.61290322580645162</v>
      </c>
    </row>
    <row r="10" spans="1:51" x14ac:dyDescent="0.3">
      <c r="A10" s="2">
        <v>7</v>
      </c>
      <c r="B10" s="7" t="s">
        <v>15</v>
      </c>
      <c r="C10" s="4"/>
      <c r="D10" s="4"/>
      <c r="E10" s="4"/>
      <c r="F10" s="4"/>
      <c r="G10" s="4" t="s">
        <v>72</v>
      </c>
      <c r="H10" s="4" t="s">
        <v>72</v>
      </c>
      <c r="I10" s="4" t="s">
        <v>72</v>
      </c>
      <c r="J10" s="4" t="s">
        <v>72</v>
      </c>
      <c r="K10" s="4" t="s">
        <v>74</v>
      </c>
      <c r="L10" s="4" t="s">
        <v>72</v>
      </c>
      <c r="M10" s="4" t="s">
        <v>73</v>
      </c>
      <c r="N10" s="4" t="s">
        <v>72</v>
      </c>
      <c r="O10" s="4" t="s">
        <v>72</v>
      </c>
      <c r="P10" s="4" t="s">
        <v>74</v>
      </c>
      <c r="Q10" s="4" t="s">
        <v>74</v>
      </c>
      <c r="R10" s="4" t="s">
        <v>72</v>
      </c>
      <c r="S10" s="4" t="s">
        <v>74</v>
      </c>
      <c r="T10" s="4" t="s">
        <v>72</v>
      </c>
      <c r="U10" s="4" t="s">
        <v>74</v>
      </c>
      <c r="V10" s="4" t="s">
        <v>72</v>
      </c>
      <c r="W10" s="4" t="s">
        <v>72</v>
      </c>
      <c r="X10" s="4" t="s">
        <v>74</v>
      </c>
      <c r="Y10" s="4" t="s">
        <v>72</v>
      </c>
      <c r="Z10" s="4" t="s">
        <v>73</v>
      </c>
      <c r="AA10" s="4" t="s">
        <v>72</v>
      </c>
      <c r="AB10" s="4" t="s">
        <v>72</v>
      </c>
      <c r="AC10" s="4" t="s">
        <v>74</v>
      </c>
      <c r="AD10" s="4" t="s">
        <v>74</v>
      </c>
      <c r="AE10" s="4" t="s">
        <v>72</v>
      </c>
      <c r="AF10" s="4" t="s">
        <v>74</v>
      </c>
      <c r="AG10" s="4" t="s">
        <v>72</v>
      </c>
      <c r="AH10" s="4" t="s">
        <v>74</v>
      </c>
      <c r="AI10" s="4" t="s">
        <v>74</v>
      </c>
      <c r="AJ10" s="4" t="s">
        <v>74</v>
      </c>
      <c r="AK10" s="4" t="s">
        <v>74</v>
      </c>
      <c r="AL10" s="4"/>
      <c r="AM10" s="4"/>
      <c r="AN10" s="4"/>
      <c r="AO10" s="4"/>
      <c r="AP10" s="4"/>
      <c r="AQ10" s="4"/>
      <c r="AR10" s="4"/>
      <c r="AS10" s="3">
        <f t="shared" si="0"/>
        <v>16</v>
      </c>
      <c r="AT10" s="3">
        <f t="shared" si="1"/>
        <v>13</v>
      </c>
      <c r="AU10" s="3">
        <f t="shared" si="2"/>
        <v>0</v>
      </c>
      <c r="AV10" s="3">
        <f t="shared" si="3"/>
        <v>2</v>
      </c>
      <c r="AW10" s="3">
        <f t="shared" si="4"/>
        <v>0</v>
      </c>
      <c r="AX10" s="9">
        <f>SUM(31-SUM(ENERO[[#This Row],[TOTAL INASISTENCIA]:[TOTAL CIERRE]]))/31</f>
        <v>0.5161290322580645</v>
      </c>
    </row>
    <row r="11" spans="1:51" x14ac:dyDescent="0.3">
      <c r="A11" s="2">
        <v>8</v>
      </c>
      <c r="B11" s="7" t="s">
        <v>16</v>
      </c>
      <c r="C11" s="4"/>
      <c r="D11" s="4"/>
      <c r="E11" s="4"/>
      <c r="F11" s="4"/>
      <c r="G11" s="4" t="s">
        <v>74</v>
      </c>
      <c r="H11" s="4" t="s">
        <v>74</v>
      </c>
      <c r="I11" s="4" t="s">
        <v>74</v>
      </c>
      <c r="J11" s="4" t="s">
        <v>74</v>
      </c>
      <c r="K11" s="4" t="s">
        <v>74</v>
      </c>
      <c r="L11" s="4" t="s">
        <v>74</v>
      </c>
      <c r="M11" s="4" t="s">
        <v>74</v>
      </c>
      <c r="N11" s="4" t="s">
        <v>74</v>
      </c>
      <c r="O11" s="4" t="s">
        <v>74</v>
      </c>
      <c r="P11" s="4" t="s">
        <v>74</v>
      </c>
      <c r="Q11" s="4" t="s">
        <v>72</v>
      </c>
      <c r="R11" s="4" t="s">
        <v>73</v>
      </c>
      <c r="S11" s="4" t="s">
        <v>72</v>
      </c>
      <c r="T11" s="4" t="s">
        <v>72</v>
      </c>
      <c r="U11" s="4" t="s">
        <v>74</v>
      </c>
      <c r="V11" s="4" t="s">
        <v>74</v>
      </c>
      <c r="W11" s="4" t="s">
        <v>72</v>
      </c>
      <c r="X11" s="4" t="s">
        <v>74</v>
      </c>
      <c r="Y11" s="4" t="s">
        <v>72</v>
      </c>
      <c r="Z11" s="4" t="s">
        <v>74</v>
      </c>
      <c r="AA11" s="4" t="s">
        <v>72</v>
      </c>
      <c r="AB11" s="4" t="s">
        <v>72</v>
      </c>
      <c r="AC11" s="4" t="s">
        <v>74</v>
      </c>
      <c r="AD11" s="4" t="s">
        <v>72</v>
      </c>
      <c r="AE11" s="4" t="s">
        <v>73</v>
      </c>
      <c r="AF11" s="4" t="s">
        <v>72</v>
      </c>
      <c r="AG11" s="4" t="s">
        <v>72</v>
      </c>
      <c r="AH11" s="4" t="s">
        <v>74</v>
      </c>
      <c r="AI11" s="4" t="s">
        <v>74</v>
      </c>
      <c r="AJ11" s="4" t="s">
        <v>72</v>
      </c>
      <c r="AK11" s="4" t="s">
        <v>74</v>
      </c>
      <c r="AL11" s="4"/>
      <c r="AM11" s="4"/>
      <c r="AN11" s="4"/>
      <c r="AO11" s="4"/>
      <c r="AP11" s="4"/>
      <c r="AQ11" s="4"/>
      <c r="AR11" s="4"/>
      <c r="AS11" s="3">
        <f t="shared" si="0"/>
        <v>11</v>
      </c>
      <c r="AT11" s="3">
        <f t="shared" si="1"/>
        <v>18</v>
      </c>
      <c r="AU11" s="3">
        <f t="shared" si="2"/>
        <v>0</v>
      </c>
      <c r="AV11" s="3">
        <f t="shared" si="3"/>
        <v>2</v>
      </c>
      <c r="AW11" s="3">
        <f t="shared" si="4"/>
        <v>0</v>
      </c>
      <c r="AX11" s="9">
        <f>SUM(31-SUM(ENERO[[#This Row],[TOTAL INASISTENCIA]:[TOTAL CIERRE]]))/31</f>
        <v>0.35483870967741937</v>
      </c>
    </row>
    <row r="12" spans="1:51" x14ac:dyDescent="0.3">
      <c r="A12" s="2">
        <v>9</v>
      </c>
      <c r="B12" s="7" t="s">
        <v>17</v>
      </c>
      <c r="C12" s="4"/>
      <c r="D12" s="4"/>
      <c r="E12" s="4"/>
      <c r="F12" s="4"/>
      <c r="G12" s="4" t="s">
        <v>74</v>
      </c>
      <c r="H12" s="4" t="s">
        <v>74</v>
      </c>
      <c r="I12" s="4" t="s">
        <v>74</v>
      </c>
      <c r="J12" s="4" t="s">
        <v>72</v>
      </c>
      <c r="K12" s="4" t="s">
        <v>73</v>
      </c>
      <c r="L12" s="4" t="s">
        <v>72</v>
      </c>
      <c r="M12" s="4" t="s">
        <v>72</v>
      </c>
      <c r="N12" s="4" t="s">
        <v>74</v>
      </c>
      <c r="O12" s="4" t="s">
        <v>74</v>
      </c>
      <c r="P12" s="4" t="s">
        <v>72</v>
      </c>
      <c r="Q12" s="4" t="s">
        <v>74</v>
      </c>
      <c r="R12" s="4" t="s">
        <v>72</v>
      </c>
      <c r="S12" s="4" t="s">
        <v>74</v>
      </c>
      <c r="T12" s="4" t="s">
        <v>72</v>
      </c>
      <c r="U12" s="4" t="s">
        <v>72</v>
      </c>
      <c r="V12" s="4" t="s">
        <v>74</v>
      </c>
      <c r="W12" s="4" t="s">
        <v>72</v>
      </c>
      <c r="X12" s="4" t="s">
        <v>73</v>
      </c>
      <c r="Y12" s="4" t="s">
        <v>72</v>
      </c>
      <c r="Z12" s="4" t="s">
        <v>72</v>
      </c>
      <c r="AA12" s="4" t="s">
        <v>74</v>
      </c>
      <c r="AB12" s="4" t="s">
        <v>74</v>
      </c>
      <c r="AC12" s="4" t="s">
        <v>72</v>
      </c>
      <c r="AD12" s="4" t="s">
        <v>74</v>
      </c>
      <c r="AE12" s="4" t="s">
        <v>72</v>
      </c>
      <c r="AF12" s="4" t="s">
        <v>74</v>
      </c>
      <c r="AG12" s="4" t="s">
        <v>74</v>
      </c>
      <c r="AH12" s="4" t="s">
        <v>74</v>
      </c>
      <c r="AI12" s="4" t="s">
        <v>74</v>
      </c>
      <c r="AJ12" s="4" t="s">
        <v>74</v>
      </c>
      <c r="AK12" s="4" t="s">
        <v>74</v>
      </c>
      <c r="AL12" s="4"/>
      <c r="AM12" s="4"/>
      <c r="AN12" s="4"/>
      <c r="AO12" s="4"/>
      <c r="AP12" s="4"/>
      <c r="AQ12" s="4"/>
      <c r="AR12" s="4"/>
      <c r="AS12" s="3">
        <f t="shared" si="0"/>
        <v>12</v>
      </c>
      <c r="AT12" s="3">
        <f t="shared" si="1"/>
        <v>17</v>
      </c>
      <c r="AU12" s="3">
        <f t="shared" si="2"/>
        <v>0</v>
      </c>
      <c r="AV12" s="3">
        <f t="shared" si="3"/>
        <v>2</v>
      </c>
      <c r="AW12" s="3">
        <f t="shared" si="4"/>
        <v>0</v>
      </c>
      <c r="AX12" s="9">
        <f>SUM(31-SUM(ENERO[[#This Row],[TOTAL INASISTENCIA]:[TOTAL CIERRE]]))/31</f>
        <v>0.38709677419354838</v>
      </c>
    </row>
    <row r="13" spans="1:51" x14ac:dyDescent="0.3">
      <c r="A13" s="2">
        <v>10</v>
      </c>
      <c r="B13" s="7" t="s">
        <v>18</v>
      </c>
      <c r="C13" s="4"/>
      <c r="D13" s="4"/>
      <c r="E13" s="4"/>
      <c r="F13" s="4"/>
      <c r="G13" s="4" t="s">
        <v>72</v>
      </c>
      <c r="H13" s="4" t="s">
        <v>74</v>
      </c>
      <c r="I13" s="4" t="s">
        <v>72</v>
      </c>
      <c r="J13" s="4" t="s">
        <v>73</v>
      </c>
      <c r="K13" s="4" t="s">
        <v>72</v>
      </c>
      <c r="L13" s="4" t="s">
        <v>72</v>
      </c>
      <c r="M13" s="4" t="s">
        <v>74</v>
      </c>
      <c r="N13" s="4" t="s">
        <v>74</v>
      </c>
      <c r="O13" s="4" t="s">
        <v>72</v>
      </c>
      <c r="P13" s="4" t="s">
        <v>74</v>
      </c>
      <c r="Q13" s="4" t="s">
        <v>72</v>
      </c>
      <c r="R13" s="4" t="s">
        <v>74</v>
      </c>
      <c r="S13" s="4" t="s">
        <v>72</v>
      </c>
      <c r="T13" s="4" t="s">
        <v>73</v>
      </c>
      <c r="U13" s="4" t="s">
        <v>72</v>
      </c>
      <c r="V13" s="4" t="s">
        <v>72</v>
      </c>
      <c r="W13" s="4" t="s">
        <v>74</v>
      </c>
      <c r="X13" s="4" t="s">
        <v>74</v>
      </c>
      <c r="Y13" s="4" t="s">
        <v>72</v>
      </c>
      <c r="Z13" s="4" t="s">
        <v>74</v>
      </c>
      <c r="AA13" s="4"/>
      <c r="AB13" s="4" t="s">
        <v>72</v>
      </c>
      <c r="AC13" s="4" t="s">
        <v>74</v>
      </c>
      <c r="AD13" s="4" t="s">
        <v>72</v>
      </c>
      <c r="AE13" s="4" t="s">
        <v>73</v>
      </c>
      <c r="AF13" s="4" t="s">
        <v>72</v>
      </c>
      <c r="AG13" s="4" t="s">
        <v>72</v>
      </c>
      <c r="AH13" s="4" t="s">
        <v>74</v>
      </c>
      <c r="AI13" s="4" t="s">
        <v>74</v>
      </c>
      <c r="AJ13" s="4" t="s">
        <v>72</v>
      </c>
      <c r="AK13" s="4" t="s">
        <v>74</v>
      </c>
      <c r="AL13" s="4"/>
      <c r="AM13" s="4"/>
      <c r="AN13" s="4"/>
      <c r="AO13" s="4"/>
      <c r="AP13" s="4"/>
      <c r="AQ13" s="4"/>
      <c r="AR13" s="4"/>
      <c r="AS13" s="3">
        <f t="shared" si="0"/>
        <v>15</v>
      </c>
      <c r="AT13" s="3">
        <f t="shared" si="1"/>
        <v>12</v>
      </c>
      <c r="AU13" s="3">
        <f t="shared" si="2"/>
        <v>0</v>
      </c>
      <c r="AV13" s="3">
        <f t="shared" si="3"/>
        <v>3</v>
      </c>
      <c r="AW13" s="3">
        <f t="shared" si="4"/>
        <v>0</v>
      </c>
      <c r="AX13" s="9">
        <f>SUM(31-SUM(ENERO[[#This Row],[TOTAL INASISTENCIA]:[TOTAL CIERRE]]))/31</f>
        <v>0.5161290322580645</v>
      </c>
    </row>
  </sheetData>
  <conditionalFormatting sqref="AX4:AX1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{ACFFB56B-E0F1-46E0-8FC3-1015E970F2AB}</x14:id>
        </ext>
      </extLst>
    </cfRule>
  </conditionalFormatting>
  <dataValidations count="1">
    <dataValidation type="list" allowBlank="1" showInputMessage="1" showErrorMessage="1" sqref="C4:AR13" xr:uid="{22229F9E-865E-45D6-940D-C50BD4C70316}">
      <formula1>"A,I,S,LL,C"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FFB56B-E0F1-46E0-8FC3-1015E970F2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AX4:AX13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441B-3DEF-4FF0-B17A-5D4150E7200A}">
  <dimension ref="A1:AY13"/>
  <sheetViews>
    <sheetView showGridLines="0" zoomScale="90" zoomScaleNormal="90" workbookViewId="0">
      <selection activeCell="A2" sqref="A2:XFD2"/>
    </sheetView>
  </sheetViews>
  <sheetFormatPr baseColWidth="10" defaultRowHeight="14.4" outlineLevelCol="1" x14ac:dyDescent="0.3"/>
  <cols>
    <col min="1" max="1" width="5.88671875" style="2" customWidth="1"/>
    <col min="2" max="2" width="29.33203125" customWidth="1"/>
    <col min="3" max="3" width="3.109375" style="3" customWidth="1"/>
    <col min="4" max="4" width="2.77734375" style="3" customWidth="1"/>
    <col min="5" max="5" width="3.88671875" style="3" customWidth="1"/>
    <col min="6" max="10" width="2.88671875" style="3" customWidth="1"/>
    <col min="11" max="11" width="2.77734375" style="3" bestFit="1" customWidth="1"/>
    <col min="12" max="16" width="4.33203125" style="3" bestFit="1" customWidth="1"/>
    <col min="17" max="17" width="6" style="3" customWidth="1"/>
    <col min="18" max="21" width="4.33203125" style="3" bestFit="1" customWidth="1"/>
    <col min="22" max="22" width="6" style="3" customWidth="1"/>
    <col min="23" max="23" width="4.33203125" style="3" bestFit="1" customWidth="1"/>
    <col min="24" max="27" width="4.33203125" bestFit="1" customWidth="1"/>
    <col min="28" max="28" width="6" customWidth="1"/>
    <col min="29" max="30" width="4.33203125" bestFit="1" customWidth="1"/>
    <col min="31" max="31" width="4.33203125" hidden="1" customWidth="1" outlineLevel="1"/>
    <col min="32" max="32" width="6" hidden="1" customWidth="1" outlineLevel="1"/>
    <col min="33" max="44" width="4.33203125" hidden="1" customWidth="1" outlineLevel="1"/>
    <col min="45" max="45" width="7.88671875" customWidth="1" collapsed="1"/>
    <col min="46" max="49" width="7.88671875" customWidth="1"/>
  </cols>
  <sheetData>
    <row r="1" spans="1:51" ht="21" x14ac:dyDescent="0.3">
      <c r="A1" s="6" t="s">
        <v>19</v>
      </c>
      <c r="B1" s="6"/>
      <c r="C1" s="6"/>
      <c r="D1" s="6"/>
      <c r="J1" s="6" t="s">
        <v>25</v>
      </c>
      <c r="K1" s="6"/>
      <c r="L1" s="6"/>
      <c r="M1" s="6"/>
      <c r="N1" s="6"/>
      <c r="O1" s="6"/>
      <c r="Q1" s="6" t="s">
        <v>26</v>
      </c>
      <c r="R1" s="6"/>
      <c r="S1" s="6"/>
      <c r="T1" s="6"/>
      <c r="U1" s="6"/>
      <c r="V1" s="6" t="s">
        <v>27</v>
      </c>
      <c r="W1" s="6"/>
      <c r="X1" s="6"/>
      <c r="Y1" s="6"/>
      <c r="Z1" s="6"/>
      <c r="AA1" s="3"/>
      <c r="AB1" s="6" t="s">
        <v>28</v>
      </c>
      <c r="AC1" s="6"/>
      <c r="AF1" s="6" t="s">
        <v>29</v>
      </c>
    </row>
    <row r="2" spans="1:51" ht="21" x14ac:dyDescent="0.3">
      <c r="A2" s="1"/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6</v>
      </c>
      <c r="X2" s="1" t="s">
        <v>0</v>
      </c>
      <c r="Y2" s="1" t="s">
        <v>1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0</v>
      </c>
      <c r="AF2" s="1" t="s">
        <v>1</v>
      </c>
      <c r="AG2" s="1" t="s">
        <v>2</v>
      </c>
      <c r="AH2" s="1" t="s">
        <v>3</v>
      </c>
      <c r="AI2" s="1" t="s">
        <v>4</v>
      </c>
      <c r="AJ2" s="1" t="s">
        <v>5</v>
      </c>
      <c r="AK2" s="1" t="s">
        <v>6</v>
      </c>
      <c r="AL2" s="1" t="s">
        <v>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/>
      <c r="AT2" s="1"/>
      <c r="AU2" s="1"/>
      <c r="AV2" s="1"/>
      <c r="AW2" s="1"/>
      <c r="AX2" s="1"/>
      <c r="AY2" s="1"/>
    </row>
    <row r="3" spans="1:51" ht="32.4" x14ac:dyDescent="0.3">
      <c r="A3" s="1" t="s">
        <v>7</v>
      </c>
      <c r="B3" s="1" t="s">
        <v>8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 s="1" t="s">
        <v>52</v>
      </c>
      <c r="Z3" s="1" t="s">
        <v>53</v>
      </c>
      <c r="AA3" s="1" t="s">
        <v>54</v>
      </c>
      <c r="AB3" s="1" t="s">
        <v>55</v>
      </c>
      <c r="AC3" s="1" t="s">
        <v>56</v>
      </c>
      <c r="AD3" s="1" t="s">
        <v>57</v>
      </c>
      <c r="AE3" s="1" t="s">
        <v>94</v>
      </c>
      <c r="AF3" s="1" t="s">
        <v>95</v>
      </c>
      <c r="AG3" s="1" t="s">
        <v>96</v>
      </c>
      <c r="AH3" s="1" t="s">
        <v>97</v>
      </c>
      <c r="AI3" s="1" t="s">
        <v>98</v>
      </c>
      <c r="AJ3" s="1" t="s">
        <v>99</v>
      </c>
      <c r="AK3" s="1" t="s">
        <v>100</v>
      </c>
      <c r="AL3" s="1" t="s">
        <v>65</v>
      </c>
      <c r="AM3" s="1" t="s">
        <v>66</v>
      </c>
      <c r="AN3" s="1" t="s">
        <v>67</v>
      </c>
      <c r="AO3" s="1" t="s">
        <v>68</v>
      </c>
      <c r="AP3" s="1" t="s">
        <v>69</v>
      </c>
      <c r="AQ3" s="1" t="s">
        <v>70</v>
      </c>
      <c r="AR3" s="1" t="s">
        <v>71</v>
      </c>
      <c r="AS3" s="5" t="s">
        <v>21</v>
      </c>
      <c r="AT3" s="5" t="s">
        <v>20</v>
      </c>
      <c r="AU3" s="5" t="s">
        <v>24</v>
      </c>
      <c r="AV3" s="5" t="s">
        <v>22</v>
      </c>
      <c r="AW3" s="5" t="s">
        <v>23</v>
      </c>
      <c r="AX3" s="5" t="s">
        <v>88</v>
      </c>
    </row>
    <row r="4" spans="1:51" x14ac:dyDescent="0.3">
      <c r="A4" s="2">
        <v>1</v>
      </c>
      <c r="B4" s="7" t="s">
        <v>9</v>
      </c>
      <c r="C4" s="4" t="s">
        <v>74</v>
      </c>
      <c r="D4" s="4" t="s">
        <v>72</v>
      </c>
      <c r="E4" s="4" t="s">
        <v>72</v>
      </c>
      <c r="F4" s="4" t="s">
        <v>74</v>
      </c>
      <c r="G4" s="4" t="s">
        <v>72</v>
      </c>
      <c r="H4" s="4" t="s">
        <v>73</v>
      </c>
      <c r="I4" s="4" t="s">
        <v>72</v>
      </c>
      <c r="J4" s="4" t="s">
        <v>72</v>
      </c>
      <c r="K4" s="4" t="s">
        <v>74</v>
      </c>
      <c r="L4" s="4" t="s">
        <v>74</v>
      </c>
      <c r="M4" s="4" t="s">
        <v>74</v>
      </c>
      <c r="N4" s="4" t="s">
        <v>74</v>
      </c>
      <c r="O4" s="4" t="s">
        <v>74</v>
      </c>
      <c r="P4" s="4" t="s">
        <v>74</v>
      </c>
      <c r="Q4" s="4" t="s">
        <v>74</v>
      </c>
      <c r="R4" s="4" t="s">
        <v>74</v>
      </c>
      <c r="S4" s="4" t="s">
        <v>72</v>
      </c>
      <c r="T4" s="4" t="s">
        <v>72</v>
      </c>
      <c r="U4" s="4" t="s">
        <v>74</v>
      </c>
      <c r="V4" s="4" t="s">
        <v>72</v>
      </c>
      <c r="W4" s="4" t="s">
        <v>73</v>
      </c>
      <c r="X4" s="4" t="s">
        <v>72</v>
      </c>
      <c r="Y4" s="4" t="s">
        <v>72</v>
      </c>
      <c r="Z4" s="4" t="s">
        <v>74</v>
      </c>
      <c r="AA4" s="4" t="s">
        <v>74</v>
      </c>
      <c r="AB4" s="4" t="s">
        <v>72</v>
      </c>
      <c r="AC4" s="4" t="s">
        <v>74</v>
      </c>
      <c r="AD4" s="4" t="s">
        <v>72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>
        <f>COUNTIF(C4:AR4,"A")</f>
        <v>12</v>
      </c>
      <c r="AT4" s="3">
        <f>COUNTIF(C4:AR4,"I")</f>
        <v>14</v>
      </c>
      <c r="AU4" s="3">
        <f>COUNTIF(C4:AR4,"S")</f>
        <v>0</v>
      </c>
      <c r="AV4" s="3">
        <f>COUNTIF(C4:AR4,"LL")</f>
        <v>2</v>
      </c>
      <c r="AW4" s="3">
        <f>COUNTIF(C4:AR4,"C")</f>
        <v>0</v>
      </c>
      <c r="AX4" s="9">
        <f>SUM(28-SUM(FEBRERO[[#This Row],[TOTAL INASISTENCIA]:[TOTAL CIERRE]]))/28</f>
        <v>0.42857142857142855</v>
      </c>
    </row>
    <row r="5" spans="1:51" x14ac:dyDescent="0.3">
      <c r="A5" s="2">
        <v>2</v>
      </c>
      <c r="B5" s="7" t="s">
        <v>10</v>
      </c>
      <c r="C5" s="4" t="s">
        <v>72</v>
      </c>
      <c r="D5" s="4" t="s">
        <v>74</v>
      </c>
      <c r="E5" s="4" t="s">
        <v>72</v>
      </c>
      <c r="F5" s="4" t="s">
        <v>74</v>
      </c>
      <c r="G5" s="4" t="s">
        <v>72</v>
      </c>
      <c r="H5" s="4" t="s">
        <v>72</v>
      </c>
      <c r="I5" s="4" t="s">
        <v>74</v>
      </c>
      <c r="J5" s="4" t="s">
        <v>72</v>
      </c>
      <c r="K5" s="4" t="s">
        <v>74</v>
      </c>
      <c r="L5" s="4" t="s">
        <v>72</v>
      </c>
      <c r="M5" s="4" t="s">
        <v>73</v>
      </c>
      <c r="N5" s="4" t="s">
        <v>72</v>
      </c>
      <c r="O5" s="4" t="s">
        <v>72</v>
      </c>
      <c r="P5" s="4" t="s">
        <v>74</v>
      </c>
      <c r="Q5" s="4" t="s">
        <v>74</v>
      </c>
      <c r="R5" s="4" t="s">
        <v>72</v>
      </c>
      <c r="S5" s="4" t="s">
        <v>74</v>
      </c>
      <c r="T5" s="4" t="s">
        <v>72</v>
      </c>
      <c r="U5" s="4" t="s">
        <v>74</v>
      </c>
      <c r="V5" s="4" t="s">
        <v>72</v>
      </c>
      <c r="W5" s="4" t="s">
        <v>72</v>
      </c>
      <c r="X5" s="4" t="s">
        <v>74</v>
      </c>
      <c r="Y5" s="4" t="s">
        <v>72</v>
      </c>
      <c r="Z5" s="4" t="s">
        <v>73</v>
      </c>
      <c r="AA5" s="4" t="s">
        <v>72</v>
      </c>
      <c r="AB5" s="4" t="s">
        <v>72</v>
      </c>
      <c r="AC5" s="4" t="s">
        <v>74</v>
      </c>
      <c r="AD5" s="4" t="s">
        <v>74</v>
      </c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3">
        <f t="shared" ref="AS5:AS13" si="0">COUNTIF(C5:AR5,"A")</f>
        <v>15</v>
      </c>
      <c r="AT5" s="3">
        <f t="shared" ref="AT5:AT13" si="1">COUNTIF(C5:AR5,"I")</f>
        <v>11</v>
      </c>
      <c r="AU5" s="3">
        <f t="shared" ref="AU5:AU13" si="2">COUNTIF(C5:AR5,"S")</f>
        <v>0</v>
      </c>
      <c r="AV5" s="3">
        <f t="shared" ref="AV5:AV13" si="3">COUNTIF(C5:AR5,"LL")</f>
        <v>2</v>
      </c>
      <c r="AW5" s="3">
        <f t="shared" ref="AW5:AW13" si="4">COUNTIF(C5:AR5,"C")</f>
        <v>0</v>
      </c>
      <c r="AX5" s="9">
        <f>SUM(28-SUM(FEBRERO[[#This Row],[TOTAL INASISTENCIA]:[TOTAL CIERRE]]))/28</f>
        <v>0.5357142857142857</v>
      </c>
    </row>
    <row r="6" spans="1:51" x14ac:dyDescent="0.3">
      <c r="A6" s="2">
        <v>3</v>
      </c>
      <c r="B6" s="7" t="s">
        <v>11</v>
      </c>
      <c r="C6" s="4" t="s">
        <v>73</v>
      </c>
      <c r="D6" s="4" t="s">
        <v>72</v>
      </c>
      <c r="E6" s="4" t="s">
        <v>72</v>
      </c>
      <c r="F6" s="4" t="s">
        <v>74</v>
      </c>
      <c r="G6" s="4" t="s">
        <v>74</v>
      </c>
      <c r="H6" s="4" t="s">
        <v>72</v>
      </c>
      <c r="I6" s="4" t="s">
        <v>74</v>
      </c>
      <c r="J6" s="4" t="s">
        <v>72</v>
      </c>
      <c r="K6" s="4"/>
      <c r="L6" s="4"/>
      <c r="M6" s="4"/>
      <c r="N6" s="4"/>
      <c r="O6" s="4" t="s">
        <v>72</v>
      </c>
      <c r="P6" s="4" t="s">
        <v>74</v>
      </c>
      <c r="Q6" s="4" t="s">
        <v>72</v>
      </c>
      <c r="R6" s="4" t="s">
        <v>73</v>
      </c>
      <c r="S6" s="4" t="s">
        <v>72</v>
      </c>
      <c r="T6" s="4" t="s">
        <v>72</v>
      </c>
      <c r="U6" s="4" t="s">
        <v>74</v>
      </c>
      <c r="V6" s="4" t="s">
        <v>74</v>
      </c>
      <c r="W6" s="4" t="s">
        <v>72</v>
      </c>
      <c r="X6" s="4" t="s">
        <v>74</v>
      </c>
      <c r="Y6" s="4" t="s">
        <v>72</v>
      </c>
      <c r="Z6" s="4" t="s">
        <v>74</v>
      </c>
      <c r="AA6" s="4" t="s">
        <v>72</v>
      </c>
      <c r="AB6" s="4" t="s">
        <v>72</v>
      </c>
      <c r="AC6" s="4" t="s">
        <v>74</v>
      </c>
      <c r="AD6" s="4" t="s">
        <v>72</v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3">
        <f t="shared" si="0"/>
        <v>13</v>
      </c>
      <c r="AT6" s="3">
        <f t="shared" si="1"/>
        <v>9</v>
      </c>
      <c r="AU6" s="3">
        <f t="shared" si="2"/>
        <v>0</v>
      </c>
      <c r="AV6" s="3">
        <f t="shared" si="3"/>
        <v>2</v>
      </c>
      <c r="AW6" s="3">
        <f t="shared" si="4"/>
        <v>0</v>
      </c>
      <c r="AX6" s="9">
        <f>SUM(28-SUM(FEBRERO[[#This Row],[TOTAL INASISTENCIA]:[TOTAL CIERRE]]))/28</f>
        <v>0.6071428571428571</v>
      </c>
    </row>
    <row r="7" spans="1:51" x14ac:dyDescent="0.3">
      <c r="A7" s="2">
        <v>4</v>
      </c>
      <c r="B7" s="7" t="s">
        <v>12</v>
      </c>
      <c r="C7" s="4" t="s">
        <v>72</v>
      </c>
      <c r="D7" s="4" t="s">
        <v>74</v>
      </c>
      <c r="E7" s="4" t="s">
        <v>72</v>
      </c>
      <c r="F7" s="4" t="s">
        <v>72</v>
      </c>
      <c r="G7" s="4" t="s">
        <v>74</v>
      </c>
      <c r="H7" s="4" t="s">
        <v>72</v>
      </c>
      <c r="I7" s="4" t="s">
        <v>73</v>
      </c>
      <c r="J7" s="4" t="s">
        <v>72</v>
      </c>
      <c r="K7" s="4" t="s">
        <v>73</v>
      </c>
      <c r="L7" s="4" t="s">
        <v>72</v>
      </c>
      <c r="M7" s="4" t="s">
        <v>72</v>
      </c>
      <c r="N7" s="4" t="s">
        <v>74</v>
      </c>
      <c r="O7" s="4" t="s">
        <v>74</v>
      </c>
      <c r="P7" s="4" t="s">
        <v>72</v>
      </c>
      <c r="Q7" s="4" t="s">
        <v>74</v>
      </c>
      <c r="R7" s="4" t="s">
        <v>72</v>
      </c>
      <c r="S7" s="4" t="s">
        <v>74</v>
      </c>
      <c r="T7" s="4" t="s">
        <v>72</v>
      </c>
      <c r="U7" s="4" t="s">
        <v>72</v>
      </c>
      <c r="V7" s="4" t="s">
        <v>74</v>
      </c>
      <c r="W7" s="4" t="s">
        <v>72</v>
      </c>
      <c r="X7" s="4" t="s">
        <v>73</v>
      </c>
      <c r="Y7" s="4" t="s">
        <v>72</v>
      </c>
      <c r="Z7" s="4" t="s">
        <v>72</v>
      </c>
      <c r="AA7" s="4" t="s">
        <v>74</v>
      </c>
      <c r="AB7" s="4" t="s">
        <v>74</v>
      </c>
      <c r="AC7" s="4" t="s">
        <v>72</v>
      </c>
      <c r="AD7" s="4" t="s">
        <v>74</v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3">
        <f t="shared" si="0"/>
        <v>15</v>
      </c>
      <c r="AT7" s="3">
        <f t="shared" si="1"/>
        <v>10</v>
      </c>
      <c r="AU7" s="3">
        <f t="shared" si="2"/>
        <v>0</v>
      </c>
      <c r="AV7" s="3">
        <f t="shared" si="3"/>
        <v>3</v>
      </c>
      <c r="AW7" s="3">
        <f t="shared" si="4"/>
        <v>0</v>
      </c>
      <c r="AX7" s="9">
        <f>SUM(28-SUM(FEBRERO[[#This Row],[TOTAL INASISTENCIA]:[TOTAL CIERRE]]))/28</f>
        <v>0.5357142857142857</v>
      </c>
    </row>
    <row r="8" spans="1:51" x14ac:dyDescent="0.3">
      <c r="A8" s="2">
        <v>5</v>
      </c>
      <c r="B8" s="7" t="s">
        <v>13</v>
      </c>
      <c r="C8" s="4" t="s">
        <v>74</v>
      </c>
      <c r="D8" s="4" t="s">
        <v>72</v>
      </c>
      <c r="E8" s="4" t="s">
        <v>72</v>
      </c>
      <c r="F8" s="4" t="s">
        <v>72</v>
      </c>
      <c r="G8" s="4" t="s">
        <v>72</v>
      </c>
      <c r="H8" s="4" t="s">
        <v>74</v>
      </c>
      <c r="I8" s="4" t="s">
        <v>74</v>
      </c>
      <c r="J8" s="4" t="s">
        <v>72</v>
      </c>
      <c r="K8" s="4" t="s">
        <v>72</v>
      </c>
      <c r="L8" s="4" t="s">
        <v>72</v>
      </c>
      <c r="M8" s="4" t="s">
        <v>74</v>
      </c>
      <c r="N8" s="4" t="s">
        <v>74</v>
      </c>
      <c r="O8" s="4" t="s">
        <v>72</v>
      </c>
      <c r="P8" s="4" t="s">
        <v>74</v>
      </c>
      <c r="Q8" s="4" t="s">
        <v>72</v>
      </c>
      <c r="R8" s="4" t="s">
        <v>74</v>
      </c>
      <c r="S8" s="4" t="s">
        <v>72</v>
      </c>
      <c r="T8" s="4" t="s">
        <v>72</v>
      </c>
      <c r="U8" s="4" t="s">
        <v>72</v>
      </c>
      <c r="V8" s="4" t="s">
        <v>72</v>
      </c>
      <c r="W8" s="4" t="s">
        <v>74</v>
      </c>
      <c r="X8" s="4" t="s">
        <v>74</v>
      </c>
      <c r="Y8" s="4" t="s">
        <v>72</v>
      </c>
      <c r="Z8" s="4" t="s">
        <v>74</v>
      </c>
      <c r="AA8" s="4" t="s">
        <v>72</v>
      </c>
      <c r="AB8" s="4" t="s">
        <v>74</v>
      </c>
      <c r="AC8" s="4" t="s">
        <v>72</v>
      </c>
      <c r="AD8" s="4" t="s">
        <v>72</v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3">
        <f t="shared" si="0"/>
        <v>17</v>
      </c>
      <c r="AT8" s="3">
        <f t="shared" si="1"/>
        <v>11</v>
      </c>
      <c r="AU8" s="3">
        <f t="shared" si="2"/>
        <v>0</v>
      </c>
      <c r="AV8" s="3">
        <f t="shared" si="3"/>
        <v>0</v>
      </c>
      <c r="AW8" s="3">
        <f t="shared" si="4"/>
        <v>0</v>
      </c>
      <c r="AX8" s="9">
        <f>SUM(28-SUM(FEBRERO[[#This Row],[TOTAL INASISTENCIA]:[TOTAL CIERRE]]))/28</f>
        <v>0.6071428571428571</v>
      </c>
    </row>
    <row r="9" spans="1:51" x14ac:dyDescent="0.3">
      <c r="A9" s="2">
        <v>6</v>
      </c>
      <c r="B9" s="7" t="s">
        <v>14</v>
      </c>
      <c r="C9" s="4" t="s">
        <v>74</v>
      </c>
      <c r="D9" s="4" t="s">
        <v>72</v>
      </c>
      <c r="E9" s="4" t="s">
        <v>72</v>
      </c>
      <c r="F9" s="4" t="s">
        <v>74</v>
      </c>
      <c r="G9" s="4" t="s">
        <v>72</v>
      </c>
      <c r="H9" s="4" t="s">
        <v>73</v>
      </c>
      <c r="I9" s="4" t="s">
        <v>72</v>
      </c>
      <c r="J9" s="4" t="s">
        <v>72</v>
      </c>
      <c r="K9" s="4" t="s">
        <v>72</v>
      </c>
      <c r="L9" s="4" t="s">
        <v>72</v>
      </c>
      <c r="M9" s="4" t="s">
        <v>74</v>
      </c>
      <c r="N9" s="4" t="s">
        <v>74</v>
      </c>
      <c r="O9" s="4" t="s">
        <v>72</v>
      </c>
      <c r="P9" s="4" t="s">
        <v>74</v>
      </c>
      <c r="Q9" s="4" t="s">
        <v>72</v>
      </c>
      <c r="R9" s="4" t="s">
        <v>74</v>
      </c>
      <c r="S9" s="4" t="s">
        <v>72</v>
      </c>
      <c r="T9" s="4" t="s">
        <v>72</v>
      </c>
      <c r="U9" s="4" t="s">
        <v>74</v>
      </c>
      <c r="V9" s="4" t="s">
        <v>72</v>
      </c>
      <c r="W9" s="4" t="s">
        <v>73</v>
      </c>
      <c r="X9" s="4" t="s">
        <v>72</v>
      </c>
      <c r="Y9" s="4" t="s">
        <v>72</v>
      </c>
      <c r="Z9" s="4" t="s">
        <v>74</v>
      </c>
      <c r="AA9" s="4" t="s">
        <v>74</v>
      </c>
      <c r="AB9" s="4" t="s">
        <v>72</v>
      </c>
      <c r="AC9" s="4" t="s">
        <v>74</v>
      </c>
      <c r="AD9" s="4" t="s">
        <v>72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3">
        <f t="shared" si="0"/>
        <v>16</v>
      </c>
      <c r="AT9" s="3">
        <f t="shared" si="1"/>
        <v>10</v>
      </c>
      <c r="AU9" s="3">
        <f t="shared" si="2"/>
        <v>0</v>
      </c>
      <c r="AV9" s="3">
        <f t="shared" si="3"/>
        <v>2</v>
      </c>
      <c r="AW9" s="3">
        <f t="shared" si="4"/>
        <v>0</v>
      </c>
      <c r="AX9" s="9">
        <f>SUM(28-SUM(FEBRERO[[#This Row],[TOTAL INASISTENCIA]:[TOTAL CIERRE]]))/28</f>
        <v>0.5714285714285714</v>
      </c>
    </row>
    <row r="10" spans="1:51" x14ac:dyDescent="0.3">
      <c r="A10" s="2">
        <v>7</v>
      </c>
      <c r="B10" s="7" t="s">
        <v>15</v>
      </c>
      <c r="C10" s="4" t="s">
        <v>72</v>
      </c>
      <c r="D10" s="4" t="s">
        <v>74</v>
      </c>
      <c r="E10" s="4" t="s">
        <v>72</v>
      </c>
      <c r="F10" s="4" t="s">
        <v>74</v>
      </c>
      <c r="G10" s="4" t="s">
        <v>72</v>
      </c>
      <c r="H10" s="4" t="s">
        <v>72</v>
      </c>
      <c r="I10" s="4" t="s">
        <v>74</v>
      </c>
      <c r="J10" s="4" t="s">
        <v>72</v>
      </c>
      <c r="K10" s="4" t="s">
        <v>74</v>
      </c>
      <c r="L10" s="4" t="s">
        <v>72</v>
      </c>
      <c r="M10" s="4" t="s">
        <v>73</v>
      </c>
      <c r="N10" s="4" t="s">
        <v>72</v>
      </c>
      <c r="O10" s="4" t="s">
        <v>72</v>
      </c>
      <c r="P10" s="4" t="s">
        <v>74</v>
      </c>
      <c r="Q10" s="4" t="s">
        <v>74</v>
      </c>
      <c r="R10" s="4" t="s">
        <v>72</v>
      </c>
      <c r="S10" s="4" t="s">
        <v>74</v>
      </c>
      <c r="T10" s="4" t="s">
        <v>72</v>
      </c>
      <c r="U10" s="4" t="s">
        <v>74</v>
      </c>
      <c r="V10" s="4" t="s">
        <v>72</v>
      </c>
      <c r="W10" s="4" t="s">
        <v>72</v>
      </c>
      <c r="X10" s="4" t="s">
        <v>74</v>
      </c>
      <c r="Y10" s="4" t="s">
        <v>72</v>
      </c>
      <c r="Z10" s="4" t="s">
        <v>73</v>
      </c>
      <c r="AA10" s="4" t="s">
        <v>72</v>
      </c>
      <c r="AB10" s="4" t="s">
        <v>72</v>
      </c>
      <c r="AC10" s="4" t="s">
        <v>74</v>
      </c>
      <c r="AD10" s="4" t="s">
        <v>74</v>
      </c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3">
        <f t="shared" si="0"/>
        <v>15</v>
      </c>
      <c r="AT10" s="3">
        <f t="shared" si="1"/>
        <v>11</v>
      </c>
      <c r="AU10" s="3">
        <f t="shared" si="2"/>
        <v>0</v>
      </c>
      <c r="AV10" s="3">
        <f t="shared" si="3"/>
        <v>2</v>
      </c>
      <c r="AW10" s="3">
        <f t="shared" si="4"/>
        <v>0</v>
      </c>
      <c r="AX10" s="9">
        <f>SUM(28-SUM(FEBRERO[[#This Row],[TOTAL INASISTENCIA]:[TOTAL CIERRE]]))/28</f>
        <v>0.5357142857142857</v>
      </c>
    </row>
    <row r="11" spans="1:51" x14ac:dyDescent="0.3">
      <c r="A11" s="2">
        <v>8</v>
      </c>
      <c r="B11" s="7" t="s">
        <v>16</v>
      </c>
      <c r="C11" s="4" t="s">
        <v>73</v>
      </c>
      <c r="D11" s="4" t="s">
        <v>72</v>
      </c>
      <c r="E11" s="4" t="s">
        <v>72</v>
      </c>
      <c r="F11" s="4" t="s">
        <v>74</v>
      </c>
      <c r="G11" s="4" t="s">
        <v>74</v>
      </c>
      <c r="H11" s="4" t="s">
        <v>72</v>
      </c>
      <c r="I11" s="4" t="s">
        <v>74</v>
      </c>
      <c r="J11" s="4" t="s">
        <v>72</v>
      </c>
      <c r="K11" s="4"/>
      <c r="L11" s="4"/>
      <c r="M11" s="4"/>
      <c r="N11" s="4"/>
      <c r="O11" s="4" t="s">
        <v>72</v>
      </c>
      <c r="P11" s="4" t="s">
        <v>74</v>
      </c>
      <c r="Q11" s="4" t="s">
        <v>72</v>
      </c>
      <c r="R11" s="4" t="s">
        <v>73</v>
      </c>
      <c r="S11" s="4" t="s">
        <v>72</v>
      </c>
      <c r="T11" s="4" t="s">
        <v>72</v>
      </c>
      <c r="U11" s="4" t="s">
        <v>74</v>
      </c>
      <c r="V11" s="4" t="s">
        <v>74</v>
      </c>
      <c r="W11" s="4" t="s">
        <v>72</v>
      </c>
      <c r="X11" s="4" t="s">
        <v>74</v>
      </c>
      <c r="Y11" s="4" t="s">
        <v>72</v>
      </c>
      <c r="Z11" s="4" t="s">
        <v>74</v>
      </c>
      <c r="AA11" s="4" t="s">
        <v>72</v>
      </c>
      <c r="AB11" s="4" t="s">
        <v>72</v>
      </c>
      <c r="AC11" s="4" t="s">
        <v>74</v>
      </c>
      <c r="AD11" s="4" t="s">
        <v>72</v>
      </c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3">
        <f t="shared" si="0"/>
        <v>13</v>
      </c>
      <c r="AT11" s="3">
        <f t="shared" si="1"/>
        <v>9</v>
      </c>
      <c r="AU11" s="3">
        <f t="shared" si="2"/>
        <v>0</v>
      </c>
      <c r="AV11" s="3">
        <f t="shared" si="3"/>
        <v>2</v>
      </c>
      <c r="AW11" s="3">
        <f t="shared" si="4"/>
        <v>0</v>
      </c>
      <c r="AX11" s="9">
        <f>SUM(28-SUM(FEBRERO[[#This Row],[TOTAL INASISTENCIA]:[TOTAL CIERRE]]))/28</f>
        <v>0.6071428571428571</v>
      </c>
    </row>
    <row r="12" spans="1:51" x14ac:dyDescent="0.3">
      <c r="A12" s="2">
        <v>9</v>
      </c>
      <c r="B12" s="7" t="s">
        <v>17</v>
      </c>
      <c r="C12" s="4" t="s">
        <v>72</v>
      </c>
      <c r="D12" s="4" t="s">
        <v>74</v>
      </c>
      <c r="E12" s="4" t="s">
        <v>72</v>
      </c>
      <c r="F12" s="4" t="s">
        <v>72</v>
      </c>
      <c r="G12" s="4" t="s">
        <v>74</v>
      </c>
      <c r="H12" s="4" t="s">
        <v>72</v>
      </c>
      <c r="I12" s="4" t="s">
        <v>73</v>
      </c>
      <c r="J12" s="4" t="s">
        <v>72</v>
      </c>
      <c r="K12" s="4" t="s">
        <v>73</v>
      </c>
      <c r="L12" s="4" t="s">
        <v>72</v>
      </c>
      <c r="M12" s="4" t="s">
        <v>72</v>
      </c>
      <c r="N12" s="4" t="s">
        <v>74</v>
      </c>
      <c r="O12" s="4" t="s">
        <v>74</v>
      </c>
      <c r="P12" s="4" t="s">
        <v>72</v>
      </c>
      <c r="Q12" s="4" t="s">
        <v>74</v>
      </c>
      <c r="R12" s="4" t="s">
        <v>72</v>
      </c>
      <c r="S12" s="4" t="s">
        <v>74</v>
      </c>
      <c r="T12" s="4" t="s">
        <v>72</v>
      </c>
      <c r="U12" s="4" t="s">
        <v>72</v>
      </c>
      <c r="V12" s="4" t="s">
        <v>74</v>
      </c>
      <c r="W12" s="4" t="s">
        <v>72</v>
      </c>
      <c r="X12" s="4" t="s">
        <v>73</v>
      </c>
      <c r="Y12" s="4" t="s">
        <v>72</v>
      </c>
      <c r="Z12" s="4" t="s">
        <v>72</v>
      </c>
      <c r="AA12" s="4" t="s">
        <v>74</v>
      </c>
      <c r="AB12" s="4" t="s">
        <v>74</v>
      </c>
      <c r="AC12" s="4" t="s">
        <v>72</v>
      </c>
      <c r="AD12" s="4" t="s">
        <v>74</v>
      </c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3">
        <f t="shared" si="0"/>
        <v>15</v>
      </c>
      <c r="AT12" s="3">
        <f t="shared" si="1"/>
        <v>10</v>
      </c>
      <c r="AU12" s="3">
        <f t="shared" si="2"/>
        <v>0</v>
      </c>
      <c r="AV12" s="3">
        <f t="shared" si="3"/>
        <v>3</v>
      </c>
      <c r="AW12" s="3">
        <f t="shared" si="4"/>
        <v>0</v>
      </c>
      <c r="AX12" s="9">
        <f>SUM(28-SUM(FEBRERO[[#This Row],[TOTAL INASISTENCIA]:[TOTAL CIERRE]]))/28</f>
        <v>0.5357142857142857</v>
      </c>
    </row>
    <row r="13" spans="1:51" x14ac:dyDescent="0.3">
      <c r="A13" s="2">
        <v>10</v>
      </c>
      <c r="B13" s="7" t="s">
        <v>18</v>
      </c>
      <c r="C13" s="4" t="s">
        <v>74</v>
      </c>
      <c r="D13" s="4" t="s">
        <v>72</v>
      </c>
      <c r="E13" s="4" t="s">
        <v>73</v>
      </c>
      <c r="F13" s="4" t="s">
        <v>72</v>
      </c>
      <c r="G13" s="4" t="s">
        <v>72</v>
      </c>
      <c r="H13" s="4" t="s">
        <v>74</v>
      </c>
      <c r="I13" s="4" t="s">
        <v>74</v>
      </c>
      <c r="J13" s="4" t="s">
        <v>72</v>
      </c>
      <c r="K13" s="4" t="s">
        <v>72</v>
      </c>
      <c r="L13" s="4" t="s">
        <v>72</v>
      </c>
      <c r="M13" s="4" t="s">
        <v>74</v>
      </c>
      <c r="N13" s="4" t="s">
        <v>74</v>
      </c>
      <c r="O13" s="4" t="s">
        <v>72</v>
      </c>
      <c r="P13" s="4" t="s">
        <v>74</v>
      </c>
      <c r="Q13" s="4" t="s">
        <v>72</v>
      </c>
      <c r="R13" s="4" t="s">
        <v>74</v>
      </c>
      <c r="S13" s="4" t="s">
        <v>72</v>
      </c>
      <c r="T13" s="4" t="s">
        <v>73</v>
      </c>
      <c r="U13" s="4" t="s">
        <v>72</v>
      </c>
      <c r="V13" s="4" t="s">
        <v>72</v>
      </c>
      <c r="W13" s="4" t="s">
        <v>74</v>
      </c>
      <c r="X13" s="4" t="s">
        <v>74</v>
      </c>
      <c r="Y13" s="4" t="s">
        <v>72</v>
      </c>
      <c r="Z13" s="4" t="s">
        <v>74</v>
      </c>
      <c r="AA13" s="4"/>
      <c r="AB13" s="4" t="s">
        <v>72</v>
      </c>
      <c r="AC13" s="4" t="s">
        <v>74</v>
      </c>
      <c r="AD13" s="4" t="s">
        <v>72</v>
      </c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3">
        <f t="shared" si="0"/>
        <v>14</v>
      </c>
      <c r="AT13" s="3">
        <f t="shared" si="1"/>
        <v>11</v>
      </c>
      <c r="AU13" s="3">
        <f t="shared" si="2"/>
        <v>0</v>
      </c>
      <c r="AV13" s="3">
        <f t="shared" si="3"/>
        <v>2</v>
      </c>
      <c r="AW13" s="3">
        <f t="shared" si="4"/>
        <v>0</v>
      </c>
      <c r="AX13" s="9">
        <f>SUM(28-SUM(FEBRERO[[#This Row],[TOTAL INASISTENCIA]:[TOTAL CIERRE]]))/28</f>
        <v>0.5357142857142857</v>
      </c>
    </row>
  </sheetData>
  <phoneticPr fontId="5" type="noConversion"/>
  <conditionalFormatting sqref="AX4:AX1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{7FFC4B01-18AB-416A-B89F-DCD8EA63C029}</x14:id>
        </ext>
      </extLst>
    </cfRule>
  </conditionalFormatting>
  <dataValidations count="1">
    <dataValidation type="list" allowBlank="1" showInputMessage="1" showErrorMessage="1" sqref="C4:AR13" xr:uid="{7F58AEF1-110C-472B-90AB-B870FA865AF5}">
      <formula1>"A,I,S,LL,C"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FC4B01-18AB-416A-B89F-DCD8EA63C02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AX4:AX13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1423-A5D2-4304-B0E9-7CBE107941B1}">
  <sheetPr>
    <pageSetUpPr fitToPage="1"/>
  </sheetPr>
  <dimension ref="A1:AY14"/>
  <sheetViews>
    <sheetView showGridLines="0" zoomScale="90" zoomScaleNormal="90" workbookViewId="0">
      <pane ySplit="4" topLeftCell="A5" activePane="bottomLeft" state="frozen"/>
      <selection pane="bottomLeft" activeCell="M7" sqref="M7"/>
    </sheetView>
  </sheetViews>
  <sheetFormatPr baseColWidth="10" defaultRowHeight="14.4" outlineLevelCol="1" x14ac:dyDescent="0.3"/>
  <cols>
    <col min="1" max="1" width="5.88671875" style="2" customWidth="1"/>
    <col min="2" max="2" width="29.33203125" customWidth="1"/>
    <col min="3" max="6" width="5.44140625" style="3" hidden="1" customWidth="1" outlineLevel="1"/>
    <col min="7" max="7" width="6" style="3" bestFit="1" customWidth="1" collapsed="1"/>
    <col min="8" max="16" width="6" style="3" bestFit="1" customWidth="1"/>
    <col min="17" max="23" width="4.33203125" style="3" bestFit="1" customWidth="1"/>
    <col min="24" max="37" width="4.33203125" bestFit="1" customWidth="1"/>
    <col min="38" max="42" width="4.109375" hidden="1" customWidth="1" outlineLevel="1"/>
    <col min="43" max="44" width="5.6640625" hidden="1" customWidth="1" outlineLevel="1"/>
    <col min="45" max="45" width="14.77734375" bestFit="1" customWidth="1" collapsed="1"/>
  </cols>
  <sheetData>
    <row r="1" spans="1:51" ht="21" x14ac:dyDescent="0.3">
      <c r="A1" s="6" t="s">
        <v>92</v>
      </c>
      <c r="B1" s="6"/>
      <c r="C1" s="6"/>
      <c r="D1" s="6"/>
      <c r="E1" s="6"/>
      <c r="F1" s="6"/>
      <c r="H1" s="6"/>
      <c r="I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51" ht="21" x14ac:dyDescent="0.3">
      <c r="A2" s="6" t="s">
        <v>89</v>
      </c>
      <c r="B2" s="6"/>
      <c r="C2" s="6"/>
      <c r="D2" s="6"/>
      <c r="E2" s="6"/>
      <c r="F2" s="6"/>
      <c r="H2" s="6"/>
      <c r="I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51" ht="21" x14ac:dyDescent="0.3">
      <c r="A3" s="1"/>
      <c r="B3" s="1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0</v>
      </c>
      <c r="K3" s="1" t="s">
        <v>1</v>
      </c>
      <c r="L3" s="1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0</v>
      </c>
      <c r="R3" s="1" t="s">
        <v>1</v>
      </c>
      <c r="S3" s="1" t="s">
        <v>2</v>
      </c>
      <c r="T3" s="1" t="s">
        <v>3</v>
      </c>
      <c r="U3" s="1" t="s">
        <v>4</v>
      </c>
      <c r="V3" s="1" t="s">
        <v>5</v>
      </c>
      <c r="W3" s="1" t="s">
        <v>6</v>
      </c>
      <c r="X3" s="1" t="s">
        <v>0</v>
      </c>
      <c r="Y3" s="1" t="s">
        <v>1</v>
      </c>
      <c r="Z3" s="1" t="s">
        <v>2</v>
      </c>
      <c r="AA3" s="1" t="s">
        <v>3</v>
      </c>
      <c r="AB3" s="1" t="s">
        <v>4</v>
      </c>
      <c r="AC3" s="1" t="s">
        <v>5</v>
      </c>
      <c r="AD3" s="1" t="s">
        <v>6</v>
      </c>
      <c r="AE3" s="1" t="s">
        <v>0</v>
      </c>
      <c r="AF3" s="1" t="s">
        <v>1</v>
      </c>
      <c r="AG3" s="1" t="s">
        <v>2</v>
      </c>
      <c r="AH3" s="1" t="s">
        <v>3</v>
      </c>
      <c r="AI3" s="1" t="s">
        <v>4</v>
      </c>
      <c r="AJ3" s="1" t="s">
        <v>5</v>
      </c>
      <c r="AK3" s="1" t="s">
        <v>6</v>
      </c>
      <c r="AL3" s="1" t="s">
        <v>0</v>
      </c>
      <c r="AM3" s="1" t="s">
        <v>1</v>
      </c>
      <c r="AN3" s="1" t="s">
        <v>2</v>
      </c>
      <c r="AO3" s="1" t="s">
        <v>3</v>
      </c>
      <c r="AP3" s="1" t="s">
        <v>4</v>
      </c>
      <c r="AQ3" s="1" t="s">
        <v>5</v>
      </c>
      <c r="AR3" s="1" t="s">
        <v>6</v>
      </c>
      <c r="AS3" s="1"/>
      <c r="AT3" s="1"/>
      <c r="AU3" s="1"/>
      <c r="AV3" s="1"/>
      <c r="AW3" s="1"/>
      <c r="AX3" s="1"/>
      <c r="AY3" s="1"/>
    </row>
    <row r="4" spans="1:51" ht="21" x14ac:dyDescent="0.3">
      <c r="A4" s="1" t="s">
        <v>7</v>
      </c>
      <c r="B4" s="1" t="s">
        <v>8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41</v>
      </c>
      <c r="S4" s="1" t="s">
        <v>42</v>
      </c>
      <c r="T4" s="1" t="s">
        <v>43</v>
      </c>
      <c r="U4" s="1" t="s">
        <v>44</v>
      </c>
      <c r="V4" s="1" t="s">
        <v>45</v>
      </c>
      <c r="W4" s="1" t="s">
        <v>46</v>
      </c>
      <c r="X4" s="1" t="s">
        <v>47</v>
      </c>
      <c r="Y4" s="1" t="s">
        <v>48</v>
      </c>
      <c r="Z4" s="1" t="s">
        <v>49</v>
      </c>
      <c r="AA4" s="1" t="s">
        <v>50</v>
      </c>
      <c r="AB4" s="1" t="s">
        <v>51</v>
      </c>
      <c r="AC4" s="1" t="s">
        <v>52</v>
      </c>
      <c r="AD4" s="1" t="s">
        <v>53</v>
      </c>
      <c r="AE4" s="1" t="s">
        <v>54</v>
      </c>
      <c r="AF4" s="1" t="s">
        <v>55</v>
      </c>
      <c r="AG4" s="1" t="s">
        <v>56</v>
      </c>
      <c r="AH4" s="1" t="s">
        <v>57</v>
      </c>
      <c r="AI4" s="1" t="s">
        <v>58</v>
      </c>
      <c r="AJ4" s="1" t="s">
        <v>59</v>
      </c>
      <c r="AK4" s="1" t="s">
        <v>60</v>
      </c>
      <c r="AL4" s="1" t="s">
        <v>65</v>
      </c>
      <c r="AM4" s="1" t="s">
        <v>66</v>
      </c>
      <c r="AN4" s="1" t="s">
        <v>67</v>
      </c>
      <c r="AO4" s="1" t="s">
        <v>68</v>
      </c>
      <c r="AP4" s="1" t="s">
        <v>69</v>
      </c>
      <c r="AQ4" s="1" t="s">
        <v>70</v>
      </c>
      <c r="AR4" s="1" t="s">
        <v>71</v>
      </c>
      <c r="AS4" s="1" t="s">
        <v>90</v>
      </c>
      <c r="AT4" s="10" t="s">
        <v>91</v>
      </c>
    </row>
    <row r="5" spans="1:51" ht="18" x14ac:dyDescent="0.3">
      <c r="A5" s="2">
        <v>1</v>
      </c>
      <c r="B5" s="7" t="s">
        <v>9</v>
      </c>
      <c r="C5" s="11"/>
      <c r="D5" s="11"/>
      <c r="E5" s="11"/>
      <c r="F5" s="11"/>
      <c r="G5" s="11">
        <v>1</v>
      </c>
      <c r="H5" s="11">
        <v>0.5</v>
      </c>
      <c r="I5" s="11">
        <v>0.5</v>
      </c>
      <c r="J5" s="11">
        <v>0.5</v>
      </c>
      <c r="K5" s="11">
        <v>0.5</v>
      </c>
      <c r="L5" s="11">
        <v>0.5</v>
      </c>
      <c r="M5" s="11">
        <v>0</v>
      </c>
      <c r="N5" s="11">
        <v>0</v>
      </c>
      <c r="O5" s="11">
        <v>0</v>
      </c>
      <c r="P5" s="11">
        <v>0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2">
        <f t="shared" ref="AS5:AS11" si="0">IFERROR(AVERAGE(G5:AR5),"")</f>
        <v>0.35</v>
      </c>
    </row>
    <row r="6" spans="1:51" ht="18" x14ac:dyDescent="0.3">
      <c r="A6" s="2">
        <v>2</v>
      </c>
      <c r="B6" s="7" t="s">
        <v>10</v>
      </c>
      <c r="C6" s="11"/>
      <c r="D6" s="11"/>
      <c r="E6" s="11"/>
      <c r="F6" s="11"/>
      <c r="G6" s="11">
        <v>0.25</v>
      </c>
      <c r="H6" s="11">
        <v>1</v>
      </c>
      <c r="I6" s="11">
        <v>0.25</v>
      </c>
      <c r="J6" s="11">
        <v>0.5</v>
      </c>
      <c r="K6" s="11">
        <v>0</v>
      </c>
      <c r="L6" s="11">
        <v>1</v>
      </c>
      <c r="M6" s="11">
        <v>0.75</v>
      </c>
      <c r="N6" s="11">
        <v>0.75</v>
      </c>
      <c r="O6" s="11">
        <v>0</v>
      </c>
      <c r="P6" s="11">
        <v>0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2">
        <f t="shared" si="0"/>
        <v>0.45</v>
      </c>
    </row>
    <row r="7" spans="1:51" ht="18" x14ac:dyDescent="0.3">
      <c r="A7" s="2">
        <v>3</v>
      </c>
      <c r="B7" s="7" t="s">
        <v>11</v>
      </c>
      <c r="C7" s="11"/>
      <c r="D7" s="11"/>
      <c r="E7" s="11"/>
      <c r="F7" s="11"/>
      <c r="G7" s="11">
        <v>1</v>
      </c>
      <c r="H7" s="11">
        <v>0.25</v>
      </c>
      <c r="I7" s="11">
        <v>0.25</v>
      </c>
      <c r="J7" s="11">
        <v>0.25</v>
      </c>
      <c r="K7" s="11">
        <v>0.25</v>
      </c>
      <c r="L7" s="11">
        <v>0.5</v>
      </c>
      <c r="M7" s="11">
        <v>0.5</v>
      </c>
      <c r="N7" s="11">
        <v>0.5</v>
      </c>
      <c r="O7" s="11">
        <v>0</v>
      </c>
      <c r="P7" s="11">
        <v>0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2">
        <f t="shared" si="0"/>
        <v>0.35</v>
      </c>
    </row>
    <row r="8" spans="1:51" ht="18" x14ac:dyDescent="0.3">
      <c r="A8" s="2">
        <v>4</v>
      </c>
      <c r="B8" s="7" t="s">
        <v>12</v>
      </c>
      <c r="C8" s="11"/>
      <c r="D8" s="11"/>
      <c r="E8" s="11"/>
      <c r="F8" s="11"/>
      <c r="G8" s="11">
        <v>1</v>
      </c>
      <c r="H8" s="11">
        <v>1</v>
      </c>
      <c r="I8" s="11">
        <v>0.75</v>
      </c>
      <c r="J8" s="11">
        <v>1</v>
      </c>
      <c r="K8" s="11">
        <v>1</v>
      </c>
      <c r="L8" s="11">
        <v>0.5</v>
      </c>
      <c r="M8" s="11">
        <v>1</v>
      </c>
      <c r="N8" s="11">
        <v>0.25</v>
      </c>
      <c r="O8" s="11">
        <v>1</v>
      </c>
      <c r="P8" s="11">
        <v>1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2">
        <f t="shared" si="0"/>
        <v>0.85</v>
      </c>
    </row>
    <row r="9" spans="1:51" ht="18" x14ac:dyDescent="0.3">
      <c r="A9" s="2">
        <v>5</v>
      </c>
      <c r="B9" s="7" t="s">
        <v>13</v>
      </c>
      <c r="C9" s="11"/>
      <c r="D9" s="11"/>
      <c r="E9" s="11"/>
      <c r="F9" s="11"/>
      <c r="G9" s="11">
        <v>0</v>
      </c>
      <c r="H9" s="11">
        <v>1</v>
      </c>
      <c r="I9" s="11">
        <v>0.75</v>
      </c>
      <c r="J9" s="11">
        <v>0.5</v>
      </c>
      <c r="K9" s="11">
        <v>0.25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2">
        <f t="shared" si="0"/>
        <v>0.25</v>
      </c>
    </row>
    <row r="10" spans="1:51" ht="18" x14ac:dyDescent="0.3">
      <c r="A10" s="2">
        <v>6</v>
      </c>
      <c r="B10" s="7" t="s">
        <v>14</v>
      </c>
      <c r="C10" s="11"/>
      <c r="D10" s="11"/>
      <c r="E10" s="11"/>
      <c r="F10" s="11"/>
      <c r="G10" s="11">
        <v>1</v>
      </c>
      <c r="H10" s="11">
        <v>1</v>
      </c>
      <c r="I10" s="11">
        <v>1</v>
      </c>
      <c r="J10" s="11">
        <v>1</v>
      </c>
      <c r="K10" s="11">
        <v>1</v>
      </c>
      <c r="L10" s="11">
        <v>1</v>
      </c>
      <c r="M10" s="11">
        <v>1</v>
      </c>
      <c r="N10" s="11">
        <v>1</v>
      </c>
      <c r="O10" s="11">
        <v>1</v>
      </c>
      <c r="P10" s="11">
        <v>1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2">
        <f t="shared" si="0"/>
        <v>1</v>
      </c>
    </row>
    <row r="11" spans="1:51" ht="18" x14ac:dyDescent="0.3">
      <c r="A11" s="2">
        <v>7</v>
      </c>
      <c r="B11" s="7" t="s">
        <v>15</v>
      </c>
      <c r="C11" s="11"/>
      <c r="D11" s="11"/>
      <c r="E11" s="11"/>
      <c r="F11" s="11"/>
      <c r="G11" s="11">
        <v>0.25</v>
      </c>
      <c r="H11" s="11">
        <v>0.75</v>
      </c>
      <c r="I11" s="11">
        <v>1</v>
      </c>
      <c r="J11" s="11">
        <v>1</v>
      </c>
      <c r="K11" s="11">
        <v>0.5</v>
      </c>
      <c r="L11" s="11">
        <v>1</v>
      </c>
      <c r="M11" s="11">
        <v>0.25</v>
      </c>
      <c r="N11" s="11">
        <v>1</v>
      </c>
      <c r="O11" s="11">
        <v>1</v>
      </c>
      <c r="P11" s="11">
        <v>1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2">
        <f t="shared" si="0"/>
        <v>0.77500000000000002</v>
      </c>
    </row>
    <row r="12" spans="1:51" ht="18" x14ac:dyDescent="0.3">
      <c r="A12" s="2">
        <v>8</v>
      </c>
      <c r="B12" s="7" t="s">
        <v>16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2" t="str">
        <f>IFERROR(AVERAGE(C12:AR12),"")</f>
        <v/>
      </c>
    </row>
    <row r="13" spans="1:51" ht="18" x14ac:dyDescent="0.3">
      <c r="A13" s="2">
        <v>9</v>
      </c>
      <c r="B13" s="7" t="s">
        <v>17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2" t="str">
        <f>IFERROR(AVERAGE(C13:AR13),"")</f>
        <v/>
      </c>
    </row>
    <row r="14" spans="1:51" ht="18" x14ac:dyDescent="0.3">
      <c r="A14" s="2">
        <v>10</v>
      </c>
      <c r="B14" s="7" t="s">
        <v>18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2" t="str">
        <f>IFERROR(AVERAGE(C14:AR14),"")</f>
        <v/>
      </c>
    </row>
  </sheetData>
  <phoneticPr fontId="5" type="noConversion"/>
  <conditionalFormatting sqref="AS5:AS1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{D3FDEC6D-E7D3-43AF-9038-C7B417901B90}</x14:id>
        </ext>
      </extLst>
    </cfRule>
  </conditionalFormatting>
  <pageMargins left="0.7" right="0.7" top="0.75" bottom="0.75" header="0.3" footer="0.3"/>
  <pageSetup paperSize="9" scale="62" fitToHeight="0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FDEC6D-E7D3-43AF-9038-C7B417901B9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AS5:AS14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8B543E5-2465-46CA-B67E-45ED478A380B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'% RENDIMIENTO DIARIO'!G5:AR5</xm:f>
              <xm:sqref>AT5</xm:sqref>
            </x14:sparkline>
            <x14:sparkline>
              <xm:f>'% RENDIMIENTO DIARIO'!G6:AR6</xm:f>
              <xm:sqref>AT6</xm:sqref>
            </x14:sparkline>
            <x14:sparkline>
              <xm:f>'% RENDIMIENTO DIARIO'!G7:AR7</xm:f>
              <xm:sqref>AT7</xm:sqref>
            </x14:sparkline>
            <x14:sparkline>
              <xm:f>'% RENDIMIENTO DIARIO'!G8:AR8</xm:f>
              <xm:sqref>AT8</xm:sqref>
            </x14:sparkline>
            <x14:sparkline>
              <xm:f>'% RENDIMIENTO DIARIO'!G9:AR9</xm:f>
              <xm:sqref>AT9</xm:sqref>
            </x14:sparkline>
            <x14:sparkline>
              <xm:f>'% RENDIMIENTO DIARIO'!G10:AR10</xm:f>
              <xm:sqref>AT10</xm:sqref>
            </x14:sparkline>
            <x14:sparkline>
              <xm:f>'% RENDIMIENTO DIARIO'!G11:AR11</xm:f>
              <xm:sqref>AT11</xm:sqref>
            </x14:sparkline>
            <x14:sparkline>
              <xm:f>'% RENDIMIENTO DIARIO'!C12:AR12</xm:f>
              <xm:sqref>AT12</xm:sqref>
            </x14:sparkline>
            <x14:sparkline>
              <xm:f>'% RENDIMIENTO DIARIO'!C13:AR13</xm:f>
              <xm:sqref>AT13</xm:sqref>
            </x14:sparkline>
            <x14:sparkline>
              <xm:f>'% RENDIMIENTO DIARIO'!C14:AR14</xm:f>
              <xm:sqref>AT14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SEGUIMIENTO ASISTENCIA ANUAL</vt:lpstr>
      <vt:lpstr>SEGUIMIENTO RENDIMIENTO ANUAL</vt:lpstr>
      <vt:lpstr>ASISTENCIA ENERO</vt:lpstr>
      <vt:lpstr>ASISTENCIA FEBRERO</vt:lpstr>
      <vt:lpstr>% RENDIMIENTO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Vicuña</dc:creator>
  <cp:lastModifiedBy>Raul Vicuña</cp:lastModifiedBy>
  <cp:lastPrinted>2025-12-13T00:37:27Z</cp:lastPrinted>
  <dcterms:created xsi:type="dcterms:W3CDTF">2025-12-12T15:35:52Z</dcterms:created>
  <dcterms:modified xsi:type="dcterms:W3CDTF">2025-12-13T01:40:13Z</dcterms:modified>
</cp:coreProperties>
</file>