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8"/>
  <workbookPr/>
  <mc:AlternateContent xmlns:mc="http://schemas.openxmlformats.org/markup-compatibility/2006">
    <mc:Choice Requires="x15">
      <x15ac:absPath xmlns:x15ac="http://schemas.microsoft.com/office/spreadsheetml/2010/11/ac" url="C:\Users\Raúl\OneDrive\Escritorio\SUMA\"/>
    </mc:Choice>
  </mc:AlternateContent>
  <xr:revisionPtr revIDLastSave="0" documentId="13_ncr:1_{9615FD04-0DFF-448D-BA10-AA70130CC020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GUIA" sheetId="4" r:id="rId1"/>
    <sheet name="BASE DE ATLETAS" sheetId="3" r:id="rId2"/>
    <sheet name="REPOSITORIO DE TIEMPOS" sheetId="1" r:id="rId3"/>
    <sheet name="BUSCADOR DE RESULTADOS" sheetId="5" r:id="rId4"/>
    <sheet name="TIEMPOS COMPARATIVOS" sheetId="2" r:id="rId5"/>
  </sheets>
  <definedNames>
    <definedName name="SegmentaciónDeDatos_NOMBRE_DEL_ATLETA">#N/A</definedName>
    <definedName name="SegmentaciónDeDatos_PRUEBA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6"/>
        <x14:slicerCache r:id="rId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4" l="1"/>
  <c r="E5" i="4"/>
  <c r="E6" i="4"/>
  <c r="E7" i="4"/>
  <c r="E8" i="4"/>
  <c r="E3" i="4"/>
  <c r="A3" i="1"/>
  <c r="A4" i="1"/>
  <c r="A5" i="1"/>
  <c r="A6" i="1"/>
  <c r="A7" i="1"/>
  <c r="A8" i="1"/>
  <c r="A9" i="1"/>
  <c r="A7" i="3"/>
  <c r="D7" i="3" s="1"/>
  <c r="E7" i="3" s="1"/>
  <c r="A8" i="3"/>
  <c r="D8" i="3" s="1"/>
  <c r="E8" i="3" s="1"/>
  <c r="A9" i="3"/>
  <c r="D9" i="3" s="1"/>
  <c r="E9" i="3" s="1"/>
  <c r="A10" i="3"/>
  <c r="D10" i="3" s="1"/>
  <c r="E10" i="3" s="1"/>
  <c r="A11" i="3"/>
  <c r="D11" i="3" s="1"/>
  <c r="E11" i="3" s="1"/>
  <c r="E6" i="2"/>
  <c r="E7" i="2"/>
  <c r="E8" i="2"/>
  <c r="E9" i="2"/>
  <c r="E10" i="2"/>
  <c r="E11" i="2"/>
  <c r="E12" i="2"/>
  <c r="E13" i="2"/>
  <c r="E14" i="2"/>
  <c r="E5" i="2"/>
  <c r="A3" i="3"/>
  <c r="D3" i="3" s="1"/>
  <c r="A4" i="3"/>
  <c r="D4" i="3" s="1"/>
  <c r="A5" i="3"/>
  <c r="D5" i="3" s="1"/>
  <c r="A6" i="3"/>
  <c r="D6" i="3" s="1"/>
  <c r="A2" i="3"/>
  <c r="D2" i="3" s="1"/>
  <c r="E2" i="3" s="1"/>
  <c r="B3" i="1"/>
  <c r="C3" i="1"/>
  <c r="G3" i="1"/>
  <c r="B4" i="1"/>
  <c r="C4" i="1"/>
  <c r="G4" i="1"/>
  <c r="B5" i="1"/>
  <c r="C5" i="1"/>
  <c r="G5" i="1"/>
  <c r="B6" i="1"/>
  <c r="C6" i="1"/>
  <c r="G6" i="1"/>
  <c r="B7" i="1"/>
  <c r="C7" i="1"/>
  <c r="G7" i="1"/>
  <c r="B8" i="1"/>
  <c r="C8" i="1"/>
  <c r="G8" i="1"/>
  <c r="B9" i="1"/>
  <c r="C9" i="1"/>
  <c r="G9" i="1"/>
  <c r="B2" i="1"/>
  <c r="A2" i="1" s="1"/>
  <c r="C2" i="1"/>
  <c r="G2" i="1"/>
  <c r="A5" i="2"/>
  <c r="A6" i="2"/>
  <c r="A7" i="2"/>
  <c r="A8" i="2"/>
  <c r="A9" i="2"/>
  <c r="A10" i="2"/>
  <c r="A11" i="2"/>
  <c r="A12" i="2"/>
  <c r="A13" i="2"/>
  <c r="A14" i="2"/>
  <c r="J5" i="2" l="1"/>
  <c r="I5" i="2"/>
  <c r="C5" i="2"/>
  <c r="D5" i="2" s="1"/>
  <c r="L5" i="2" s="1"/>
  <c r="J6" i="2"/>
  <c r="I6" i="2"/>
  <c r="C6" i="2"/>
  <c r="J7" i="2"/>
  <c r="I7" i="2"/>
  <c r="C7" i="2"/>
  <c r="D7" i="2" s="1"/>
  <c r="L7" i="2" s="1"/>
  <c r="J8" i="2"/>
  <c r="I8" i="2"/>
  <c r="K8" i="2" s="1"/>
  <c r="C8" i="2"/>
  <c r="D8" i="2" s="1"/>
  <c r="L8" i="2" s="1"/>
  <c r="J9" i="2"/>
  <c r="I9" i="2"/>
  <c r="C9" i="2"/>
  <c r="D9" i="2" s="1"/>
  <c r="L9" i="2" s="1"/>
  <c r="J10" i="2"/>
  <c r="I10" i="2"/>
  <c r="C10" i="2"/>
  <c r="D10" i="2" s="1"/>
  <c r="L10" i="2" s="1"/>
  <c r="J11" i="2"/>
  <c r="I11" i="2"/>
  <c r="C11" i="2"/>
  <c r="D11" i="2" s="1"/>
  <c r="L11" i="2" s="1"/>
  <c r="J12" i="2"/>
  <c r="I12" i="2"/>
  <c r="K12" i="2" s="1"/>
  <c r="C12" i="2"/>
  <c r="D12" i="2" s="1"/>
  <c r="L12" i="2" s="1"/>
  <c r="J13" i="2"/>
  <c r="I13" i="2"/>
  <c r="C13" i="2"/>
  <c r="D13" i="2" s="1"/>
  <c r="L13" i="2" s="1"/>
  <c r="I14" i="2"/>
  <c r="J14" i="2"/>
  <c r="C14" i="2"/>
  <c r="D14" i="2" s="1"/>
  <c r="L14" i="2" s="1"/>
  <c r="E6" i="1"/>
  <c r="F6" i="1" s="1"/>
  <c r="E4" i="1"/>
  <c r="F4" i="1" s="1"/>
  <c r="E8" i="1"/>
  <c r="F8" i="1" s="1"/>
  <c r="E9" i="1"/>
  <c r="F9" i="1" s="1"/>
  <c r="E3" i="1"/>
  <c r="E5" i="1"/>
  <c r="F5" i="1" s="1"/>
  <c r="E7" i="1"/>
  <c r="E3" i="3"/>
  <c r="E4" i="3"/>
  <c r="E5" i="3"/>
  <c r="E6" i="3"/>
  <c r="E2" i="1"/>
  <c r="F2" i="1" s="1"/>
  <c r="K9" i="2" l="1"/>
  <c r="K14" i="2"/>
  <c r="K6" i="2"/>
  <c r="F6" i="2" s="1"/>
  <c r="K5" i="2"/>
  <c r="K7" i="2"/>
  <c r="F7" i="2"/>
  <c r="K10" i="2"/>
  <c r="F10" i="2"/>
  <c r="K11" i="2"/>
  <c r="F11" i="2"/>
  <c r="K13" i="2"/>
  <c r="F13" i="2"/>
  <c r="N7" i="2"/>
  <c r="N10" i="2"/>
  <c r="N11" i="2"/>
  <c r="N13" i="2"/>
  <c r="M7" i="2"/>
  <c r="M10" i="2"/>
  <c r="M11" i="2"/>
  <c r="M13" i="2"/>
  <c r="F3" i="1"/>
  <c r="D6" i="2"/>
  <c r="L6" i="2" s="1"/>
  <c r="F7" i="1"/>
  <c r="A8" i="5" a="1"/>
  <c r="N8" i="2" l="1"/>
  <c r="F8" i="2"/>
  <c r="N9" i="2"/>
  <c r="F9" i="2"/>
  <c r="N12" i="2"/>
  <c r="F12" i="2"/>
  <c r="N14" i="2"/>
  <c r="F14" i="2"/>
  <c r="F5" i="2"/>
  <c r="N5" i="2"/>
  <c r="M6" i="2"/>
  <c r="N6" i="2"/>
  <c r="M8" i="2"/>
  <c r="M9" i="2"/>
  <c r="M12" i="2"/>
  <c r="A8" i="5"/>
  <c r="B4" i="5"/>
  <c r="B3" i="5" s="1"/>
  <c r="M14" i="2"/>
  <c r="M5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<sst xmlns="http://schemas.openxmlformats.org/spreadsheetml/2006/main" count="132" uniqueCount="50">
  <si>
    <t>COMPETENCIAS Y CHEQUEOS</t>
  </si>
  <si>
    <t>TIEMPOS REALIZADOS</t>
  </si>
  <si>
    <t>NOMBRE DEL ATLETA</t>
  </si>
  <si>
    <t>MEJOR TIEMPO</t>
  </si>
  <si>
    <t>MINI GRÁFICO</t>
  </si>
  <si>
    <t>LUISA</t>
  </si>
  <si>
    <t>MARIA</t>
  </si>
  <si>
    <t>PEDRO</t>
  </si>
  <si>
    <t>LUNA</t>
  </si>
  <si>
    <t>RAMON</t>
  </si>
  <si>
    <t>VICENTE</t>
  </si>
  <si>
    <t>LUIS</t>
  </si>
  <si>
    <t>MARCOS</t>
  </si>
  <si>
    <t>LINDA</t>
  </si>
  <si>
    <t>ULTIMO TIEMPO</t>
  </si>
  <si>
    <t>FECHA EVENTO</t>
  </si>
  <si>
    <t>AÑO EVENTO</t>
  </si>
  <si>
    <t>HISTORICO DE TIEMPOS 2025</t>
  </si>
  <si>
    <t>FECHA DE NACIMIENTO</t>
  </si>
  <si>
    <t>ATLETA</t>
  </si>
  <si>
    <t>EDAD</t>
  </si>
  <si>
    <t>CATEGORIA</t>
  </si>
  <si>
    <t>AÑO ACTUAL</t>
  </si>
  <si>
    <t>SEXO</t>
  </si>
  <si>
    <t>HECTOR M.</t>
  </si>
  <si>
    <t>M</t>
  </si>
  <si>
    <t>FECHA INGRESO EQUIPO</t>
  </si>
  <si>
    <t>PRUEBAS</t>
  </si>
  <si>
    <t>FECHA DE EVENTO</t>
  </si>
  <si>
    <t>EVENTO</t>
  </si>
  <si>
    <t>TIEMPO REALIZADO</t>
  </si>
  <si>
    <t>INF. A</t>
  </si>
  <si>
    <t>INF. B</t>
  </si>
  <si>
    <t>JUV. A</t>
  </si>
  <si>
    <t>50m Libre</t>
  </si>
  <si>
    <t>50m Pecho</t>
  </si>
  <si>
    <t>50m Mariposa</t>
  </si>
  <si>
    <t>100m Libre</t>
  </si>
  <si>
    <t>PRUEBA</t>
  </si>
  <si>
    <t>F</t>
  </si>
  <si>
    <t>COPA SUMA</t>
  </si>
  <si>
    <t>MEJOR COMPETENCIA</t>
  </si>
  <si>
    <t>COPA HECTOR</t>
  </si>
  <si>
    <t>ID</t>
  </si>
  <si>
    <t>MARCA MINIMA</t>
  </si>
  <si>
    <t>M.M. - U.T.</t>
  </si>
  <si>
    <t>VALIDO</t>
  </si>
  <si>
    <t>FEMENINO</t>
  </si>
  <si>
    <t>MASCULINO</t>
  </si>
  <si>
    <t>MARCAS MINIMAS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</si>
</sst>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:ss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left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left" vertical="center" indent="1"/>
    </xf>
    <xf numFmtId="0" fontId="6" fillId="2" borderId="1" xfId="0" applyFont="1" applyFill="1" applyBorder="1" applyAlignment="1">
      <alignment horizontal="center" vertical="center" wrapText="1"/>
    </xf>
    <xf numFmtId="14" fontId="0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164" fontId="0" fillId="0" borderId="0" xfId="1" applyNumberFormat="1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/>
    </xf>
    <xf numFmtId="164" fontId="8" fillId="0" borderId="0" xfId="1" applyNumberFormat="1" applyFont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0" fontId="5" fillId="0" borderId="0" xfId="0" applyFont="1"/>
    <xf numFmtId="0" fontId="2" fillId="0" borderId="0" xfId="0" applyFont="1"/>
    <xf numFmtId="164" fontId="0" fillId="0" borderId="0" xfId="0" applyNumberFormat="1" applyAlignment="1">
      <alignment horizontal="center"/>
    </xf>
    <xf numFmtId="164" fontId="1" fillId="0" borderId="0" xfId="1" applyNumberFormat="1" applyFont="1" applyAlignment="1">
      <alignment horizontal="center" vertical="center" wrapText="1"/>
    </xf>
    <xf numFmtId="164" fontId="9" fillId="0" borderId="0" xfId="1" applyNumberFormat="1" applyFont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77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m:ss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m:ss.0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m:ss.00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mm:ss.00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numFmt numFmtId="164" formatCode="mm:ss.00"/>
      <alignment horizontal="center" vertical="center" textRotation="0" wrapText="1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m:ss.00"/>
      <alignment horizontal="center" vertical="center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m:ss.00"/>
      <alignment horizontal="center" vertical="center" textRotation="0" wrapText="1" indent="0" justifyLastLine="0" shrinkToFit="0" readingOrder="0"/>
    </dxf>
    <dxf>
      <alignment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00B050"/>
      </font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mm:ss.00"/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193038</xdr:colOff>
      <xdr:row>0</xdr:row>
      <xdr:rowOff>59266</xdr:rowOff>
    </xdr:from>
    <xdr:to>
      <xdr:col>7</xdr:col>
      <xdr:colOff>440267</xdr:colOff>
      <xdr:row>2</xdr:row>
      <xdr:rowOff>330199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NOMBRE DEL ATLETA">
              <a:extLst>
                <a:ext uri="{FF2B5EF4-FFF2-40B4-BE49-F238E27FC236}">
                  <a16:creationId xmlns:a16="http://schemas.microsoft.com/office/drawing/2014/main" id="{6C08B9DD-E7D4-4320-BF2C-AC5EBC69BD8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DEL ATLET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14505" y="59266"/>
              <a:ext cx="4023362" cy="10837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658707</xdr:colOff>
      <xdr:row>0</xdr:row>
      <xdr:rowOff>53341</xdr:rowOff>
    </xdr:from>
    <xdr:to>
      <xdr:col>10</xdr:col>
      <xdr:colOff>548640</xdr:colOff>
      <xdr:row>2</xdr:row>
      <xdr:rowOff>304801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PRUEBA">
              <a:extLst>
                <a:ext uri="{FF2B5EF4-FFF2-40B4-BE49-F238E27FC236}">
                  <a16:creationId xmlns:a16="http://schemas.microsoft.com/office/drawing/2014/main" id="{8B01CB88-20E4-4E61-FF57-23F1ADB02A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UEB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56307" y="53341"/>
              <a:ext cx="1828800" cy="1064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DEL_ATLETA" xr10:uid="{96AB8F21-758F-42A2-8F9B-534F5DBB3099}" sourceName="NOMBRE DEL ATLETA">
  <extLst>
    <x:ext xmlns:x15="http://schemas.microsoft.com/office/spreadsheetml/2010/11/main" uri="{2F2917AC-EB37-4324-AD4E-5DD8C200BD13}">
      <x15:tableSlicerCache tableId="1" column="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UEBA" xr10:uid="{138F9C1B-E510-40A1-BE5A-3434C28ADE22}" sourceName="PRUEBA">
  <extLst>
    <x:ext xmlns:x15="http://schemas.microsoft.com/office/spreadsheetml/2010/11/main" uri="{2F2917AC-EB37-4324-AD4E-5DD8C200BD13}">
      <x15:tableSlicerCache tableId="1" column="2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OMBRE DEL ATLETA" xr10:uid="{A48CB803-3B82-4C77-8C07-D6805286B955}" cache="SegmentaciónDeDatos_NOMBRE_DEL_ATLETA" caption="NOMBRE DEL ATLETA" columnCount="5" rowHeight="234950"/>
  <slicer name="PRUEBA" xr10:uid="{E5DB0651-23F5-471C-855A-6B379C494521}" cache="SegmentaciónDeDatos_PRUEBA" caption="PRUEBA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0D441B-7895-4B81-9955-2FE04A7B8052}" name="Tabla2" displayName="Tabla2" ref="A1:G11" totalsRowShown="0" headerRowDxfId="66" dataDxfId="67">
  <autoFilter ref="A1:G11" xr:uid="{D00D441B-7895-4B81-9955-2FE04A7B80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A6257313-53DE-42F4-9463-9869F49BE2DF}" name="AÑO ACTUAL" dataDxfId="73">
      <calculatedColumnFormula>IF(C2=0,"-",YEAR(TODAY()))</calculatedColumnFormula>
    </tableColumn>
    <tableColumn id="2" xr3:uid="{2064F7C1-4ED4-4997-AA9F-899F587D03D8}" name="FECHA DE NACIMIENTO" dataDxfId="72"/>
    <tableColumn id="3" xr3:uid="{5A849945-4CEF-43FE-93F4-E5EC291472D2}" name="ATLETA"/>
    <tableColumn id="4" xr3:uid="{3D0FB8D5-5261-4B3F-9321-98D174709E2D}" name="EDAD" dataDxfId="71">
      <calculatedColumnFormula>IF(C2=0,"-",A2-YEAR(B2))</calculatedColumnFormula>
    </tableColumn>
    <tableColumn id="5" xr3:uid="{F6E86848-64BF-4AED-82FC-ADB53E7E558E}" name="CATEGORIA" dataDxfId="70">
      <calculatedColumnFormula>_xlfn.XLOOKUP(D2,GUIA!A:A,GUIA!B:B,"-")</calculatedColumnFormula>
    </tableColumn>
    <tableColumn id="6" xr3:uid="{24736AAC-0200-42EF-9BC0-67C48C3F8459}" name="SEXO" dataDxfId="69"/>
    <tableColumn id="7" xr3:uid="{BADA931D-0B50-49F9-851C-FF9CEB3EAF8F}" name="FECHA INGRESO EQUIPO" dataDxfId="68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72C6E1-8DBD-44B6-9798-B140337109AD}" name="Tabla3" displayName="Tabla3" ref="A1:K9" totalsRowShown="0" headerRowDxfId="60">
  <autoFilter ref="A1:K9" xr:uid="{8D72C6E1-8DBD-44B6-9798-B140337109A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1" xr3:uid="{39CFF9BD-E06C-4053-9378-CDE971DF19DE}" name="ID" dataDxfId="52">
      <calculatedColumnFormula>_xlfn.CONCAT(Tabla3[[#This Row],[AÑO EVENTO]],Tabla3[[#This Row],[ATLETA]],Tabla3[[#This Row],[EVENTO]],Tabla3[[#This Row],[PRUEBA]])</calculatedColumnFormula>
    </tableColumn>
    <tableColumn id="1" xr3:uid="{C75656C4-B85A-47E4-842C-822118F694CA}" name="AÑO EVENTO" dataDxfId="53">
      <calculatedColumnFormula>IF(H2=0,"-",TEXT(H2,"YYYY"))</calculatedColumnFormula>
    </tableColumn>
    <tableColumn id="2" xr3:uid="{1E1FEA10-BF69-49AF-8759-23A7A3DBA5C1}" name="FECHA DE NACIMIENTO" dataDxfId="65">
      <calculatedColumnFormula>IF(H2=0,"-",_xlfn.XLOOKUP(D2,'BASE DE ATLETAS'!C:C,'BASE DE ATLETAS'!B:B,"-"))</calculatedColumnFormula>
    </tableColumn>
    <tableColumn id="3" xr3:uid="{FE604356-0D16-4629-8E5B-7EF875AB2E63}" name="ATLETA"/>
    <tableColumn id="4" xr3:uid="{7F917725-8E96-46A8-9BE9-6C76A8D3F15C}" name="EDAD" dataDxfId="64">
      <calculatedColumnFormula>IF(H2=0,"-",B2-YEAR(C2))</calculatedColumnFormula>
    </tableColumn>
    <tableColumn id="5" xr3:uid="{F9E596A4-151D-4491-BB97-433129584295}" name="CATEGORIA" dataDxfId="63">
      <calculatedColumnFormula>_xlfn.XLOOKUP(E2,GUIA!A:A,GUIA!B:B,"-")</calculatedColumnFormula>
    </tableColumn>
    <tableColumn id="6" xr3:uid="{70D1C702-D3F0-4E1D-9382-9F0CDD9F1C53}" name="SEXO" dataDxfId="62">
      <calculatedColumnFormula>IF(D2=0,"-",_xlfn.XLOOKUP(D2,'BASE DE ATLETAS'!C:C,'BASE DE ATLETAS'!F:F,"-"))</calculatedColumnFormula>
    </tableColumn>
    <tableColumn id="7" xr3:uid="{7494A7E4-FB20-43F9-99DD-9B469F3B1C16}" name="FECHA DE EVENTO" dataDxfId="56"/>
    <tableColumn id="8" xr3:uid="{8B909A7B-0FDF-4B5F-B2D2-B0B9B3AB0516}" name="EVENTO"/>
    <tableColumn id="9" xr3:uid="{53BEAE00-E8F0-4230-BC4B-9928FD24E764}" name="PRUEBA"/>
    <tableColumn id="10" xr3:uid="{0A72F3F4-0C24-41F2-8D76-C24042ABCAE9}" name="TIEMPO REALIZADO" dataDxfId="61" dataCellStyle="Porcentaje"/>
  </tableColumns>
  <tableStyleInfo name="TableStyleMedium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A10A98-4F4D-40B6-BD37-32D08E0B423D}" name="Tabla57" displayName="Tabla57" ref="A4:O14" totalsRowShown="0" headerRowDxfId="76" dataDxfId="75" dataCellStyle="Porcentaje">
  <autoFilter ref="A4:O14" xr:uid="{B9BF3FE5-9BA6-4C59-94CB-04C2955D8F8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87C25E61-DD00-4B68-8BD3-BE1211F6E976}" name="AÑO EVENTO" dataDxfId="55">
      <calculatedColumnFormula>IF(Tabla57[[#This Row],[FECHA EVENTO]]=0,"-",TEXT(Tabla57[[#This Row],[FECHA EVENTO]],"YYYY"))</calculatedColumnFormula>
    </tableColumn>
    <tableColumn id="2" xr3:uid="{3DD4E861-2162-4CA8-83C1-C1BD4CD38B5D}" name="NOMBRE DEL ATLETA" dataDxfId="54"/>
    <tableColumn id="15" xr3:uid="{6E81D8CC-1EC6-4BCD-BF25-631766F5DA42}" name="EDAD" dataDxfId="4">
      <calculatedColumnFormula>_xlfn.XLOOKUP(_xlfn.CONCAT(Tabla57[[#This Row],[AÑO EVENTO]],Tabla57[[#This Row],[NOMBRE DEL ATLETA]],Tabla57[[#Headers],[COPA SUMA]],Tabla57[[#This Row],[PRUEBA]]),Tabla3[ID],Tabla3[EDAD],"-")</calculatedColumnFormula>
    </tableColumn>
    <tableColumn id="16" xr3:uid="{A4594A2D-D70A-4C77-9135-D3D385164897}" name="CATEGORIA" dataDxfId="59">
      <calculatedColumnFormula>_xlfn.XLOOKUP(C5,GUIA!A:A,GUIA!B:B,"-")</calculatedColumnFormula>
    </tableColumn>
    <tableColumn id="17" xr3:uid="{4258E102-5DF1-4140-9991-B7882B7522F0}" name="SEXO" dataDxfId="57">
      <calculatedColumnFormula>_xlfn.XLOOKUP(Tabla57[[#This Row],[NOMBRE DEL ATLETA]],Tabla2[ATLETA],Tabla2[SEXO],"-")</calculatedColumnFormula>
    </tableColumn>
    <tableColumn id="23" xr3:uid="{77EDEAE1-B49E-4F74-A765-924C4AF1ABF5}" name="MEJOR TIEMPO" dataDxfId="3" dataCellStyle="Porcentaje">
      <calculatedColumnFormula>IFERROR(MIN(Tabla57[[#This Row],[COPA SUMA]:[ULTIMO TIEMPO]]),"-")</calculatedColumnFormula>
    </tableColumn>
    <tableColumn id="14" xr3:uid="{4DFBFFAF-ECF5-49E3-BE29-87A75637D95E}" name="FECHA EVENTO" dataDxfId="58"/>
    <tableColumn id="26" xr3:uid="{688C348A-1378-43EB-BE80-E89C0B2F0027}" name="PRUEBA" dataDxfId="74"/>
    <tableColumn id="3" xr3:uid="{AC0203C4-4CF8-47E6-979C-7EE1E968078A}" name="COPA SUMA" dataDxfId="2" dataCellStyle="Porcentaje">
      <calculatedColumnFormula>_xlfn.XLOOKUP(_xlfn.CONCAT(Tabla57[[#This Row],[AÑO EVENTO]],Tabla57[[#This Row],[NOMBRE DEL ATLETA]],Tabla57[[#Headers],[COPA SUMA]],Tabla57[[#This Row],[PRUEBA]]),Tabla3[ID],Tabla3[TIEMPO REALIZADO],"-")</calculatedColumnFormula>
    </tableColumn>
    <tableColumn id="4" xr3:uid="{7E57FADE-C734-4970-B405-31A26161DEAD}" name="COPA HECTOR" dataDxfId="1" dataCellStyle="Porcentaje">
      <calculatedColumnFormula>_xlfn.XLOOKUP(_xlfn.CONCAT(Tabla57[[#This Row],[AÑO EVENTO]],Tabla57[[#This Row],[NOMBRE DEL ATLETA]],Tabla57[[#Headers],[COPA HECTOR]],Tabla57[[#This Row],[PRUEBA]]),Tabla3[ID],Tabla3[TIEMPO REALIZADO],"-")</calculatedColumnFormula>
    </tableColumn>
    <tableColumn id="22" xr3:uid="{9AF2764E-AF01-4DED-9704-38BA3379EF7A}" name="ULTIMO TIEMPO" dataDxfId="0" dataCellStyle="Porcentaje">
      <calculatedColumnFormula>IFERROR(LOOKUP(100000,I5:J5),"-")</calculatedColumnFormula>
    </tableColumn>
    <tableColumn id="18" xr3:uid="{7B4AE185-A2D2-409E-BE95-C50704E493C4}" name="MARCA MINIMA" dataDxfId="5" dataCellStyle="Porcentaje">
      <calculatedColumnFormula>IF(Tabla57[[#This Row],[SEXO]]="F",_xlfn.XLOOKUP(_xlfn.CONCAT(Tabla57[[#This Row],[CATEGORIA]],Tabla57[[#This Row],[PRUEBA]]),GUIA!E:E,GUIA!I:I),_xlfn.XLOOKUP(_xlfn.CONCAT(Tabla57[[#This Row],[CATEGORIA]],Tabla57[[#This Row],[PRUEBA]]),GUIA!E:E,GUIA!J:J))</calculatedColumnFormula>
    </tableColumn>
    <tableColumn id="19" xr3:uid="{3961CE75-851C-44E4-B596-7457A290A611}" name="M.M. - U.T." dataDxfId="6" dataCellStyle="Porcentaje">
      <calculatedColumnFormula>IF(Tabla57[[#This Row],[MARCA MINIMA]]-Tabla57[[#This Row],[ULTIMO TIEMPO]]&lt;0,(Tabla57[[#This Row],[MARCA MINIMA]]-Tabla57[[#This Row],[ULTIMO TIEMPO]])*-1,Tabla57[[#This Row],[MARCA MINIMA]]-Tabla57[[#This Row],[ULTIMO TIEMPO]])</calculatedColumnFormula>
    </tableColumn>
    <tableColumn id="20" xr3:uid="{84992B0A-8735-41FF-8AFB-62C588B5FFA3}" name="VALIDO" dataDxfId="26" dataCellStyle="Porcentaje">
      <calculatedColumnFormula>IF(Tabla57[[#This Row],[MARCA MINIMA]]&gt;Tabla57[[#This Row],[ULTIMO TIEMPO]],"VALIDO","NO Valido")</calculatedColumnFormula>
    </tableColumn>
    <tableColumn id="24" xr3:uid="{A15F7A18-6466-419D-B7B9-95C1261A0785}" name="MINI GRÁFICO" dataDxfId="27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8B1FF-D927-4FD9-93DA-8425569C9287}">
  <dimension ref="A1:J8"/>
  <sheetViews>
    <sheetView workbookViewId="0">
      <selection activeCell="I6" sqref="I6"/>
    </sheetView>
  </sheetViews>
  <sheetFormatPr baseColWidth="10" defaultRowHeight="14.4" x14ac:dyDescent="0.3"/>
  <cols>
    <col min="1" max="3" width="11.5546875" style="6"/>
    <col min="5" max="5" width="10.33203125" bestFit="1" customWidth="1"/>
    <col min="9" max="10" width="11.5546875" style="6"/>
  </cols>
  <sheetData>
    <row r="1" spans="1:10" x14ac:dyDescent="0.3">
      <c r="G1" s="27" t="s">
        <v>49</v>
      </c>
    </row>
    <row r="2" spans="1:10" x14ac:dyDescent="0.3">
      <c r="A2" s="13" t="s">
        <v>20</v>
      </c>
      <c r="B2" s="13" t="s">
        <v>21</v>
      </c>
      <c r="C2" s="13" t="s">
        <v>27</v>
      </c>
      <c r="E2" s="12" t="s">
        <v>43</v>
      </c>
      <c r="F2" s="13" t="s">
        <v>20</v>
      </c>
      <c r="G2" s="13" t="s">
        <v>21</v>
      </c>
      <c r="H2" s="13" t="s">
        <v>27</v>
      </c>
      <c r="I2" s="12" t="s">
        <v>47</v>
      </c>
      <c r="J2" s="12" t="s">
        <v>48</v>
      </c>
    </row>
    <row r="3" spans="1:10" x14ac:dyDescent="0.3">
      <c r="A3" s="6">
        <v>10</v>
      </c>
      <c r="B3" s="6" t="s">
        <v>31</v>
      </c>
      <c r="C3" s="6" t="s">
        <v>34</v>
      </c>
      <c r="E3" s="26" t="str">
        <f>_xlfn.CONCAT(G3,H3)</f>
        <v>INF. A50m Libre</v>
      </c>
      <c r="F3" s="6">
        <v>10</v>
      </c>
      <c r="G3" s="6" t="s">
        <v>31</v>
      </c>
      <c r="H3" s="6" t="s">
        <v>34</v>
      </c>
      <c r="I3" s="28">
        <v>4.6296296296296298E-4</v>
      </c>
      <c r="J3" s="28">
        <v>4.3981481481481481E-4</v>
      </c>
    </row>
    <row r="4" spans="1:10" x14ac:dyDescent="0.3">
      <c r="A4" s="6">
        <v>11</v>
      </c>
      <c r="B4" s="6" t="s">
        <v>31</v>
      </c>
      <c r="C4" s="6" t="s">
        <v>35</v>
      </c>
      <c r="E4" s="26" t="str">
        <f t="shared" ref="E4:E8" si="0">_xlfn.CONCAT(G4,H4)</f>
        <v>INF. A50m Libre</v>
      </c>
      <c r="F4" s="6">
        <v>11</v>
      </c>
      <c r="G4" s="6" t="s">
        <v>31</v>
      </c>
      <c r="H4" s="6" t="s">
        <v>34</v>
      </c>
    </row>
    <row r="5" spans="1:10" x14ac:dyDescent="0.3">
      <c r="A5" s="6">
        <v>12</v>
      </c>
      <c r="B5" s="6" t="s">
        <v>32</v>
      </c>
      <c r="C5" s="6" t="s">
        <v>36</v>
      </c>
      <c r="E5" s="26" t="str">
        <f t="shared" si="0"/>
        <v>INF. B50m Libre</v>
      </c>
      <c r="F5" s="6">
        <v>12</v>
      </c>
      <c r="G5" s="6" t="s">
        <v>32</v>
      </c>
      <c r="H5" s="6" t="s">
        <v>34</v>
      </c>
    </row>
    <row r="6" spans="1:10" x14ac:dyDescent="0.3">
      <c r="A6" s="6">
        <v>13</v>
      </c>
      <c r="B6" s="6" t="s">
        <v>32</v>
      </c>
      <c r="C6" s="6" t="s">
        <v>37</v>
      </c>
      <c r="E6" s="26" t="str">
        <f t="shared" si="0"/>
        <v>INF. B50m Libre</v>
      </c>
      <c r="F6" s="6">
        <v>13</v>
      </c>
      <c r="G6" s="6" t="s">
        <v>32</v>
      </c>
      <c r="H6" s="6" t="s">
        <v>34</v>
      </c>
    </row>
    <row r="7" spans="1:10" x14ac:dyDescent="0.3">
      <c r="A7" s="6">
        <v>14</v>
      </c>
      <c r="B7" s="6" t="s">
        <v>33</v>
      </c>
      <c r="E7" s="26" t="str">
        <f t="shared" si="0"/>
        <v>JUV. A50m Libre</v>
      </c>
      <c r="F7" s="6">
        <v>14</v>
      </c>
      <c r="G7" s="6" t="s">
        <v>33</v>
      </c>
      <c r="H7" s="6" t="s">
        <v>34</v>
      </c>
    </row>
    <row r="8" spans="1:10" x14ac:dyDescent="0.3">
      <c r="A8" s="6">
        <v>15</v>
      </c>
      <c r="B8" s="6" t="s">
        <v>33</v>
      </c>
      <c r="E8" s="26" t="str">
        <f t="shared" si="0"/>
        <v>JUV. A50m Libre</v>
      </c>
      <c r="F8" s="6">
        <v>15</v>
      </c>
      <c r="G8" s="6" t="s">
        <v>33</v>
      </c>
      <c r="H8" s="6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5027C-F3CD-43FF-B47B-547B984341A6}">
  <dimension ref="A1:J11"/>
  <sheetViews>
    <sheetView workbookViewId="0">
      <selection activeCell="C16" sqref="C16"/>
    </sheetView>
  </sheetViews>
  <sheetFormatPr baseColWidth="10" defaultRowHeight="14.4" x14ac:dyDescent="0.3"/>
  <cols>
    <col min="1" max="1" width="11.5546875" style="7"/>
    <col min="2" max="2" width="16.88671875" style="6" customWidth="1"/>
    <col min="3" max="3" width="18.6640625" customWidth="1"/>
    <col min="4" max="6" width="11.5546875" style="6"/>
    <col min="7" max="7" width="17.44140625" style="6" customWidth="1"/>
    <col min="10" max="10" width="11.88671875" bestFit="1" customWidth="1"/>
  </cols>
  <sheetData>
    <row r="1" spans="1:10" x14ac:dyDescent="0.3">
      <c r="A1" s="13" t="s">
        <v>22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23</v>
      </c>
      <c r="G1" s="12" t="s">
        <v>26</v>
      </c>
    </row>
    <row r="2" spans="1:10" x14ac:dyDescent="0.3">
      <c r="A2" s="7">
        <f ca="1">IF(C2=0,"-",YEAR(TODAY()))</f>
        <v>2025</v>
      </c>
      <c r="B2" s="11">
        <v>42098</v>
      </c>
      <c r="C2" t="s">
        <v>24</v>
      </c>
      <c r="D2" s="6">
        <f ca="1">IF(C2=0,"-",A2-YEAR(B2))</f>
        <v>10</v>
      </c>
      <c r="E2" s="6" t="str">
        <f ca="1">_xlfn.XLOOKUP(D2,GUIA!A:A,GUIA!B:B,"-")</f>
        <v>INF. A</v>
      </c>
      <c r="F2" s="6" t="s">
        <v>25</v>
      </c>
      <c r="G2" s="11"/>
      <c r="J2" s="16"/>
    </row>
    <row r="3" spans="1:10" x14ac:dyDescent="0.3">
      <c r="A3" s="7">
        <f t="shared" ref="A3:A6" ca="1" si="0">IF(C3=0,"-",YEAR(TODAY()))</f>
        <v>2025</v>
      </c>
      <c r="B3" s="11">
        <v>42236</v>
      </c>
      <c r="C3" t="s">
        <v>5</v>
      </c>
      <c r="D3" s="6">
        <f t="shared" ref="D3:D6" ca="1" si="1">IF(C3=0,"-",A3-YEAR(B3))</f>
        <v>10</v>
      </c>
      <c r="E3" s="6" t="str">
        <f ca="1">_xlfn.XLOOKUP(D3,GUIA!A:A,GUIA!B:B,"-")</f>
        <v>INF. A</v>
      </c>
      <c r="F3" s="6" t="s">
        <v>39</v>
      </c>
      <c r="G3" s="11"/>
      <c r="J3" s="16"/>
    </row>
    <row r="4" spans="1:10" x14ac:dyDescent="0.3">
      <c r="A4" s="7">
        <f t="shared" ca="1" si="0"/>
        <v>2025</v>
      </c>
      <c r="B4" s="11">
        <v>41703</v>
      </c>
      <c r="C4" t="s">
        <v>6</v>
      </c>
      <c r="D4" s="6">
        <f t="shared" ca="1" si="1"/>
        <v>11</v>
      </c>
      <c r="E4" s="6" t="str">
        <f ca="1">_xlfn.XLOOKUP(D4,GUIA!A:A,GUIA!B:B,"-")</f>
        <v>INF. A</v>
      </c>
      <c r="F4" s="6" t="s">
        <v>39</v>
      </c>
      <c r="G4" s="11"/>
      <c r="J4" s="16"/>
    </row>
    <row r="5" spans="1:10" x14ac:dyDescent="0.3">
      <c r="A5" s="7">
        <f t="shared" ca="1" si="0"/>
        <v>2025</v>
      </c>
      <c r="B5" s="11">
        <v>41590</v>
      </c>
      <c r="C5" t="s">
        <v>7</v>
      </c>
      <c r="D5" s="6">
        <f t="shared" ca="1" si="1"/>
        <v>12</v>
      </c>
      <c r="E5" s="6" t="str">
        <f ca="1">_xlfn.XLOOKUP(D5,GUIA!A:A,GUIA!B:B,"-")</f>
        <v>INF. B</v>
      </c>
      <c r="F5" s="6" t="s">
        <v>25</v>
      </c>
      <c r="G5" s="11"/>
      <c r="J5" s="16"/>
    </row>
    <row r="6" spans="1:10" x14ac:dyDescent="0.3">
      <c r="A6" s="7">
        <f t="shared" ca="1" si="0"/>
        <v>2025</v>
      </c>
      <c r="B6" s="11">
        <v>40936</v>
      </c>
      <c r="C6" t="s">
        <v>8</v>
      </c>
      <c r="D6" s="6">
        <f t="shared" ca="1" si="1"/>
        <v>13</v>
      </c>
      <c r="E6" s="6" t="str">
        <f ca="1">_xlfn.XLOOKUP(D6,GUIA!A:A,GUIA!B:B,"-")</f>
        <v>INF. B</v>
      </c>
      <c r="F6" s="6" t="s">
        <v>39</v>
      </c>
      <c r="G6" s="11"/>
      <c r="J6" s="16"/>
    </row>
    <row r="7" spans="1:10" x14ac:dyDescent="0.3">
      <c r="A7" s="7">
        <f t="shared" ref="A7:A11" ca="1" si="2">IF(C7=0,"-",YEAR(TODAY()))</f>
        <v>2025</v>
      </c>
      <c r="B7" s="11">
        <v>40703</v>
      </c>
      <c r="C7" t="s">
        <v>9</v>
      </c>
      <c r="D7" s="6">
        <f t="shared" ref="D7:D11" ca="1" si="3">IF(C7=0,"-",A7-YEAR(B7))</f>
        <v>14</v>
      </c>
      <c r="E7" s="6" t="str">
        <f ca="1">_xlfn.XLOOKUP(D7,GUIA!A:A,GUIA!B:B,"-")</f>
        <v>JUV. A</v>
      </c>
      <c r="F7" s="6" t="s">
        <v>25</v>
      </c>
      <c r="G7" s="11"/>
      <c r="J7" s="16"/>
    </row>
    <row r="8" spans="1:10" x14ac:dyDescent="0.3">
      <c r="A8" s="7">
        <f t="shared" ca="1" si="2"/>
        <v>2025</v>
      </c>
      <c r="B8" s="11">
        <v>40527</v>
      </c>
      <c r="C8" t="s">
        <v>10</v>
      </c>
      <c r="D8" s="6">
        <f t="shared" ca="1" si="3"/>
        <v>15</v>
      </c>
      <c r="E8" s="6" t="str">
        <f ca="1">_xlfn.XLOOKUP(D8,GUIA!A:A,GUIA!B:B,"-")</f>
        <v>JUV. A</v>
      </c>
      <c r="F8" s="6" t="s">
        <v>25</v>
      </c>
      <c r="G8" s="11"/>
      <c r="J8" s="16"/>
    </row>
    <row r="9" spans="1:10" x14ac:dyDescent="0.3">
      <c r="A9" s="7">
        <f t="shared" ca="1" si="2"/>
        <v>2025</v>
      </c>
      <c r="B9" s="11">
        <v>42127</v>
      </c>
      <c r="C9" t="s">
        <v>11</v>
      </c>
      <c r="D9" s="6">
        <f t="shared" ca="1" si="3"/>
        <v>10</v>
      </c>
      <c r="E9" s="6" t="str">
        <f ca="1">_xlfn.XLOOKUP(D9,GUIA!A:A,GUIA!B:B,"-")</f>
        <v>INF. A</v>
      </c>
      <c r="F9" s="6" t="s">
        <v>25</v>
      </c>
      <c r="G9" s="11"/>
      <c r="J9" s="16"/>
    </row>
    <row r="10" spans="1:10" x14ac:dyDescent="0.3">
      <c r="A10" s="7">
        <f t="shared" ca="1" si="2"/>
        <v>2025</v>
      </c>
      <c r="B10" s="11">
        <v>41534</v>
      </c>
      <c r="C10" t="s">
        <v>12</v>
      </c>
      <c r="D10" s="6">
        <f t="shared" ca="1" si="3"/>
        <v>12</v>
      </c>
      <c r="E10" s="6" t="str">
        <f ca="1">_xlfn.XLOOKUP(D10,GUIA!A:A,GUIA!B:B,"-")</f>
        <v>INF. B</v>
      </c>
      <c r="F10" s="6" t="s">
        <v>25</v>
      </c>
      <c r="G10" s="11"/>
      <c r="J10" s="16"/>
    </row>
    <row r="11" spans="1:10" x14ac:dyDescent="0.3">
      <c r="A11" s="7">
        <f t="shared" ca="1" si="2"/>
        <v>2025</v>
      </c>
      <c r="B11" s="11">
        <v>40599</v>
      </c>
      <c r="C11" t="s">
        <v>13</v>
      </c>
      <c r="D11" s="6">
        <f t="shared" ca="1" si="3"/>
        <v>14</v>
      </c>
      <c r="E11" s="6" t="str">
        <f ca="1">_xlfn.XLOOKUP(D11,GUIA!A:A,GUIA!B:B,"-")</f>
        <v>JUV. A</v>
      </c>
      <c r="F11" s="6" t="s">
        <v>39</v>
      </c>
      <c r="G11" s="11"/>
      <c r="J11" s="1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workbookViewId="0">
      <selection activeCell="A2" sqref="A2"/>
    </sheetView>
  </sheetViews>
  <sheetFormatPr baseColWidth="10" defaultColWidth="8.88671875" defaultRowHeight="14.4" x14ac:dyDescent="0.3"/>
  <cols>
    <col min="1" max="1" width="5.44140625" style="6" customWidth="1"/>
    <col min="2" max="2" width="8.88671875" style="6" bestFit="1" customWidth="1"/>
    <col min="3" max="3" width="14.77734375" bestFit="1" customWidth="1"/>
    <col min="4" max="4" width="10.44140625" style="6" bestFit="1" customWidth="1"/>
    <col min="5" max="5" width="4.109375" style="6" bestFit="1" customWidth="1"/>
    <col min="6" max="6" width="7.6640625" style="6" bestFit="1" customWidth="1"/>
    <col min="7" max="7" width="3.88671875" style="6" bestFit="1" customWidth="1"/>
    <col min="8" max="8" width="11.77734375" bestFit="1" customWidth="1"/>
    <col min="9" max="9" width="12.77734375" bestFit="1" customWidth="1"/>
    <col min="10" max="10" width="9" style="6" bestFit="1" customWidth="1"/>
    <col min="11" max="11" width="8" bestFit="1" customWidth="1"/>
  </cols>
  <sheetData>
    <row r="1" spans="1:11" ht="20.399999999999999" x14ac:dyDescent="0.3">
      <c r="A1" s="12" t="s">
        <v>43</v>
      </c>
      <c r="B1" s="13" t="s">
        <v>16</v>
      </c>
      <c r="C1" s="13" t="s">
        <v>18</v>
      </c>
      <c r="D1" s="13" t="s">
        <v>19</v>
      </c>
      <c r="E1" s="13" t="s">
        <v>20</v>
      </c>
      <c r="F1" s="13" t="s">
        <v>21</v>
      </c>
      <c r="G1" s="13" t="s">
        <v>23</v>
      </c>
      <c r="H1" s="12" t="s">
        <v>28</v>
      </c>
      <c r="I1" s="12" t="s">
        <v>29</v>
      </c>
      <c r="J1" s="12" t="s">
        <v>38</v>
      </c>
      <c r="K1" s="12" t="s">
        <v>30</v>
      </c>
    </row>
    <row r="2" spans="1:11" x14ac:dyDescent="0.3">
      <c r="A2" s="23" t="str">
        <f>_xlfn.CONCAT(Tabla3[[#This Row],[AÑO EVENTO]],Tabla3[[#This Row],[ATLETA]],Tabla3[[#This Row],[EVENTO]],Tabla3[[#This Row],[PRUEBA]])</f>
        <v>2025HECTOR M.COPA SUMA50m Libre</v>
      </c>
      <c r="B2" s="6" t="str">
        <f>IF(H2=0,"-",TEXT(H2,"YYYY"))</f>
        <v>2025</v>
      </c>
      <c r="C2" s="11">
        <f>IF(H2=0,"-",_xlfn.XLOOKUP(D2,'BASE DE ATLETAS'!C:C,'BASE DE ATLETAS'!B:B,"-"))</f>
        <v>42098</v>
      </c>
      <c r="D2" t="s">
        <v>24</v>
      </c>
      <c r="E2" s="14">
        <f>IF(H2=0,"-",B2-YEAR(C2))</f>
        <v>10</v>
      </c>
      <c r="F2" s="6" t="str">
        <f>_xlfn.XLOOKUP(E2,GUIA!A:A,GUIA!B:B,"-")</f>
        <v>INF. A</v>
      </c>
      <c r="G2" s="6" t="str">
        <f>IF(D2=0,"-",_xlfn.XLOOKUP(D2,'BASE DE ATLETAS'!C:C,'BASE DE ATLETAS'!F:F,"-"))</f>
        <v>M</v>
      </c>
      <c r="H2" s="11">
        <v>46006</v>
      </c>
      <c r="I2" t="s">
        <v>40</v>
      </c>
      <c r="J2" t="s">
        <v>34</v>
      </c>
      <c r="K2" s="4">
        <v>9.8379629629629642E-4</v>
      </c>
    </row>
    <row r="3" spans="1:11" x14ac:dyDescent="0.3">
      <c r="A3" s="23" t="str">
        <f>_xlfn.CONCAT(Tabla3[[#This Row],[AÑO EVENTO]],Tabla3[[#This Row],[ATLETA]],Tabla3[[#This Row],[EVENTO]],Tabla3[[#This Row],[PRUEBA]])</f>
        <v>2025LUISACOPA SUMA50m Libre</v>
      </c>
      <c r="B3" s="6" t="str">
        <f t="shared" ref="B3:B9" si="0">IF(H3=0,"-",TEXT(H3,"YYYY"))</f>
        <v>2025</v>
      </c>
      <c r="C3" s="11">
        <f>IF(H3=0,"-",_xlfn.XLOOKUP(D3,'BASE DE ATLETAS'!C:C,'BASE DE ATLETAS'!B:B,"-"))</f>
        <v>42236</v>
      </c>
      <c r="D3" t="s">
        <v>5</v>
      </c>
      <c r="E3" s="14">
        <f t="shared" ref="E3:E9" si="1">IF(H3=0,"-",B3-YEAR(C3))</f>
        <v>10</v>
      </c>
      <c r="F3" s="6" t="str">
        <f>_xlfn.XLOOKUP(E3,GUIA!A:A,GUIA!B:B,"-")</f>
        <v>INF. A</v>
      </c>
      <c r="G3" s="6" t="str">
        <f>IF(D3=0,"-",_xlfn.XLOOKUP(D3,'BASE DE ATLETAS'!C:C,'BASE DE ATLETAS'!F:F,"-"))</f>
        <v>F</v>
      </c>
      <c r="H3" s="11">
        <v>46006</v>
      </c>
      <c r="I3" t="s">
        <v>40</v>
      </c>
      <c r="J3" t="s">
        <v>34</v>
      </c>
      <c r="K3" s="4">
        <v>1.8582175925925925E-3</v>
      </c>
    </row>
    <row r="4" spans="1:11" x14ac:dyDescent="0.3">
      <c r="A4" s="23" t="str">
        <f>_xlfn.CONCAT(Tabla3[[#This Row],[AÑO EVENTO]],Tabla3[[#This Row],[ATLETA]],Tabla3[[#This Row],[EVENTO]],Tabla3[[#This Row],[PRUEBA]])</f>
        <v>2025MARIACOPA SUMA50m Libre</v>
      </c>
      <c r="B4" s="6" t="str">
        <f t="shared" si="0"/>
        <v>2025</v>
      </c>
      <c r="C4" s="11">
        <f>IF(H4=0,"-",_xlfn.XLOOKUP(D4,'BASE DE ATLETAS'!C:C,'BASE DE ATLETAS'!B:B,"-"))</f>
        <v>41703</v>
      </c>
      <c r="D4" t="s">
        <v>6</v>
      </c>
      <c r="E4" s="14">
        <f t="shared" si="1"/>
        <v>11</v>
      </c>
      <c r="F4" s="6" t="str">
        <f>_xlfn.XLOOKUP(E4,GUIA!A:A,GUIA!B:B,"-")</f>
        <v>INF. A</v>
      </c>
      <c r="G4" s="6" t="str">
        <f>IF(D4=0,"-",_xlfn.XLOOKUP(D4,'BASE DE ATLETAS'!C:C,'BASE DE ATLETAS'!F:F,"-"))</f>
        <v>F</v>
      </c>
      <c r="H4" s="11">
        <v>46006</v>
      </c>
      <c r="I4" t="s">
        <v>40</v>
      </c>
      <c r="J4" t="s">
        <v>34</v>
      </c>
      <c r="K4" s="4">
        <v>1.2178240740740741E-3</v>
      </c>
    </row>
    <row r="5" spans="1:11" x14ac:dyDescent="0.3">
      <c r="A5" s="23" t="str">
        <f>_xlfn.CONCAT(Tabla3[[#This Row],[AÑO EVENTO]],Tabla3[[#This Row],[ATLETA]],Tabla3[[#This Row],[EVENTO]],Tabla3[[#This Row],[PRUEBA]])</f>
        <v>2025HECTOR M.COPA HECTOR50m Libre</v>
      </c>
      <c r="B5" s="6" t="str">
        <f t="shared" si="0"/>
        <v>2025</v>
      </c>
      <c r="C5" s="11">
        <f>IF(H5=0,"-",_xlfn.XLOOKUP(D5,'BASE DE ATLETAS'!C:C,'BASE DE ATLETAS'!B:B,"-"))</f>
        <v>42098</v>
      </c>
      <c r="D5" t="s">
        <v>24</v>
      </c>
      <c r="E5" s="14">
        <f t="shared" si="1"/>
        <v>10</v>
      </c>
      <c r="F5" s="6" t="str">
        <f>_xlfn.XLOOKUP(E5,GUIA!A:A,GUIA!B:B,"-")</f>
        <v>INF. A</v>
      </c>
      <c r="G5" s="6" t="str">
        <f>IF(D5=0,"-",_xlfn.XLOOKUP(D5,'BASE DE ATLETAS'!C:C,'BASE DE ATLETAS'!F:F,"-"))</f>
        <v>M</v>
      </c>
      <c r="H5" s="11">
        <v>46006</v>
      </c>
      <c r="I5" t="s">
        <v>42</v>
      </c>
      <c r="J5" t="s">
        <v>34</v>
      </c>
      <c r="K5" s="4">
        <v>4.6423611111111107E-4</v>
      </c>
    </row>
    <row r="6" spans="1:11" x14ac:dyDescent="0.3">
      <c r="A6" s="23" t="str">
        <f>_xlfn.CONCAT(Tabla3[[#This Row],[AÑO EVENTO]],Tabla3[[#This Row],[ATLETA]],Tabla3[[#This Row],[EVENTO]],Tabla3[[#This Row],[PRUEBA]])</f>
        <v>2025LUNACOPA SUMA50m Libre</v>
      </c>
      <c r="B6" s="6" t="str">
        <f t="shared" si="0"/>
        <v>2025</v>
      </c>
      <c r="C6" s="11">
        <f>IF(H6=0,"-",_xlfn.XLOOKUP(D6,'BASE DE ATLETAS'!C:C,'BASE DE ATLETAS'!B:B,"-"))</f>
        <v>40936</v>
      </c>
      <c r="D6" t="s">
        <v>8</v>
      </c>
      <c r="E6" s="14">
        <f t="shared" si="1"/>
        <v>13</v>
      </c>
      <c r="F6" s="6" t="str">
        <f>_xlfn.XLOOKUP(E6,GUIA!A:A,GUIA!B:B,"-")</f>
        <v>INF. B</v>
      </c>
      <c r="G6" s="6" t="str">
        <f>IF(D6=0,"-",_xlfn.XLOOKUP(D6,'BASE DE ATLETAS'!C:C,'BASE DE ATLETAS'!F:F,"-"))</f>
        <v>F</v>
      </c>
      <c r="H6" s="11">
        <v>46006</v>
      </c>
      <c r="I6" t="s">
        <v>40</v>
      </c>
      <c r="J6" t="s">
        <v>34</v>
      </c>
      <c r="K6" s="4">
        <v>3.5243055555555554E-4</v>
      </c>
    </row>
    <row r="7" spans="1:11" x14ac:dyDescent="0.3">
      <c r="A7" s="23" t="str">
        <f>_xlfn.CONCAT(Tabla3[[#This Row],[AÑO EVENTO]],Tabla3[[#This Row],[ATLETA]],Tabla3[[#This Row],[EVENTO]],Tabla3[[#This Row],[PRUEBA]])</f>
        <v>2025RAMONCOPA SUMA50m Libre</v>
      </c>
      <c r="B7" s="6" t="str">
        <f t="shared" si="0"/>
        <v>2025</v>
      </c>
      <c r="C7" s="11">
        <f>IF(H7=0,"-",_xlfn.XLOOKUP(D7,'BASE DE ATLETAS'!C:C,'BASE DE ATLETAS'!B:B,"-"))</f>
        <v>40703</v>
      </c>
      <c r="D7" t="s">
        <v>9</v>
      </c>
      <c r="E7" s="14">
        <f t="shared" si="1"/>
        <v>14</v>
      </c>
      <c r="F7" s="6" t="str">
        <f>_xlfn.XLOOKUP(E7,GUIA!A:A,GUIA!B:B,"-")</f>
        <v>JUV. A</v>
      </c>
      <c r="G7" s="6" t="str">
        <f>IF(D7=0,"-",_xlfn.XLOOKUP(D7,'BASE DE ATLETAS'!C:C,'BASE DE ATLETAS'!F:F,"-"))</f>
        <v>M</v>
      </c>
      <c r="H7" s="11">
        <v>46006</v>
      </c>
      <c r="I7" t="s">
        <v>40</v>
      </c>
      <c r="J7" t="s">
        <v>34</v>
      </c>
      <c r="K7" s="4">
        <v>7.0081018518518517E-4</v>
      </c>
    </row>
    <row r="8" spans="1:11" x14ac:dyDescent="0.3">
      <c r="A8" s="23" t="str">
        <f>_xlfn.CONCAT(Tabla3[[#This Row],[AÑO EVENTO]],Tabla3[[#This Row],[ATLETA]],Tabla3[[#This Row],[EVENTO]],Tabla3[[#This Row],[PRUEBA]])</f>
        <v>2025VICENTECOPA SUMA50m Libre</v>
      </c>
      <c r="B8" s="6" t="str">
        <f t="shared" si="0"/>
        <v>2025</v>
      </c>
      <c r="C8" s="11">
        <f>IF(H8=0,"-",_xlfn.XLOOKUP(D8,'BASE DE ATLETAS'!C:C,'BASE DE ATLETAS'!B:B,"-"))</f>
        <v>40527</v>
      </c>
      <c r="D8" t="s">
        <v>10</v>
      </c>
      <c r="E8" s="14">
        <f t="shared" si="1"/>
        <v>15</v>
      </c>
      <c r="F8" s="6" t="str">
        <f>_xlfn.XLOOKUP(E8,GUIA!A:A,GUIA!B:B,"-")</f>
        <v>JUV. A</v>
      </c>
      <c r="G8" s="6" t="str">
        <f>IF(D8=0,"-",_xlfn.XLOOKUP(D8,'BASE DE ATLETAS'!C:C,'BASE DE ATLETAS'!F:F,"-"))</f>
        <v>M</v>
      </c>
      <c r="H8" s="11">
        <v>46006</v>
      </c>
      <c r="I8" t="s">
        <v>40</v>
      </c>
      <c r="J8" t="s">
        <v>34</v>
      </c>
      <c r="K8" s="4">
        <v>4.3298611111111104E-4</v>
      </c>
    </row>
    <row r="9" spans="1:11" x14ac:dyDescent="0.3">
      <c r="A9" s="23" t="str">
        <f>_xlfn.CONCAT(Tabla3[[#This Row],[AÑO EVENTO]],Tabla3[[#This Row],[ATLETA]],Tabla3[[#This Row],[EVENTO]],Tabla3[[#This Row],[PRUEBA]])</f>
        <v>2025LUISCOPA SUMA50m Libre</v>
      </c>
      <c r="B9" s="6" t="str">
        <f t="shared" si="0"/>
        <v>2025</v>
      </c>
      <c r="C9" s="11">
        <f>IF(H9=0,"-",_xlfn.XLOOKUP(D9,'BASE DE ATLETAS'!C:C,'BASE DE ATLETAS'!B:B,"-"))</f>
        <v>42127</v>
      </c>
      <c r="D9" t="s">
        <v>11</v>
      </c>
      <c r="E9" s="14">
        <f t="shared" si="1"/>
        <v>10</v>
      </c>
      <c r="F9" s="6" t="str">
        <f>_xlfn.XLOOKUP(E9,GUIA!A:A,GUIA!B:B,"-")</f>
        <v>INF. A</v>
      </c>
      <c r="G9" s="6" t="str">
        <f>IF(D9=0,"-",_xlfn.XLOOKUP(D9,'BASE DE ATLETAS'!C:C,'BASE DE ATLETAS'!F:F,"-"))</f>
        <v>M</v>
      </c>
      <c r="H9" s="11">
        <v>46006</v>
      </c>
      <c r="I9" t="s">
        <v>40</v>
      </c>
      <c r="J9" t="s">
        <v>34</v>
      </c>
      <c r="K9" s="4">
        <v>5.322916666666667E-4</v>
      </c>
    </row>
    <row r="10" spans="1:11" x14ac:dyDescent="0.3">
      <c r="J10" s="4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3B1CCFC-F174-4845-84DE-BC489018168E}">
          <x14:formula1>
            <xm:f>GUIA!$C$3:$C$6</xm:f>
          </x14:formula1>
          <xm:sqref>J2:J9</xm:sqref>
        </x14:dataValidation>
        <x14:dataValidation type="list" allowBlank="1" showInputMessage="1" showErrorMessage="1" xr:uid="{CBE3FF49-CF14-4267-AC4B-71A3A68333F5}">
          <x14:formula1>
            <xm:f>'BASE DE ATLETAS'!$C:$C</xm:f>
          </x14:formula1>
          <xm:sqref>D2:D9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A972D-DA5F-4DBB-A0CE-3466C17437FB}">
  <dimension ref="A1:J28"/>
  <sheetViews>
    <sheetView showGridLines="0" workbookViewId="0">
      <selection activeCell="A8" sqref="A8"/>
    </sheetView>
  </sheetViews>
  <sheetFormatPr baseColWidth="10" defaultRowHeight="14.4" x14ac:dyDescent="0.3"/>
  <sheetData>
    <row r="1" spans="1:10" ht="15" thickBot="1" x14ac:dyDescent="0.35">
      <c r="A1" s="17" t="s">
        <v>19</v>
      </c>
      <c r="B1" s="21" t="s">
        <v>9</v>
      </c>
    </row>
    <row r="2" spans="1:10" ht="15" thickBot="1" x14ac:dyDescent="0.35">
      <c r="A2" s="17" t="s">
        <v>38</v>
      </c>
      <c r="B2" s="21" t="s">
        <v>34</v>
      </c>
    </row>
    <row r="3" spans="1:10" ht="21" thickBot="1" x14ac:dyDescent="0.35">
      <c r="A3" s="17" t="s">
        <v>41</v>
      </c>
      <c r="B3" s="22" t="str">
        <f>_xlfn.XLOOKUP(B4,J:J,H:H)</f>
        <v>COPA SUMA</v>
      </c>
    </row>
    <row r="4" spans="1:10" ht="15" thickBot="1" x14ac:dyDescent="0.35">
      <c r="A4" s="17" t="s">
        <v>3</v>
      </c>
      <c r="B4" s="20">
        <f>MIN(J:J)</f>
        <v>7.0081018518518517E-4</v>
      </c>
    </row>
    <row r="6" spans="1:10" ht="15" thickBot="1" x14ac:dyDescent="0.35"/>
    <row r="7" spans="1:10" ht="21" thickBot="1" x14ac:dyDescent="0.35">
      <c r="A7" s="17" t="s">
        <v>16</v>
      </c>
      <c r="B7" s="17" t="s">
        <v>18</v>
      </c>
      <c r="C7" s="17" t="s">
        <v>19</v>
      </c>
      <c r="D7" s="17" t="s">
        <v>20</v>
      </c>
      <c r="E7" s="17" t="s">
        <v>21</v>
      </c>
      <c r="F7" s="17" t="s">
        <v>23</v>
      </c>
      <c r="G7" s="17" t="s">
        <v>28</v>
      </c>
      <c r="H7" s="17" t="s">
        <v>29</v>
      </c>
      <c r="I7" s="17" t="s">
        <v>38</v>
      </c>
      <c r="J7" s="17" t="s">
        <v>30</v>
      </c>
    </row>
    <row r="8" spans="1:10" x14ac:dyDescent="0.3">
      <c r="A8" s="6" t="str" cm="1">
        <f t="array" ref="A8:J8">_xlfn._xlws.FILTER(Tabla3[[AÑO EVENTO]:[TIEMPO REALIZADO]],('BUSCADOR DE RESULTADOS'!B1=Tabla3[ATLETA])*('BUSCADOR DE RESULTADOS'!B2=Tabla3[PRUEBA]))</f>
        <v>2025</v>
      </c>
      <c r="B8" s="18">
        <v>40703</v>
      </c>
      <c r="C8" s="19" t="str">
        <v>RAMON</v>
      </c>
      <c r="D8" s="6">
        <v>14</v>
      </c>
      <c r="E8" s="6" t="str">
        <v>JUV. A</v>
      </c>
      <c r="F8" s="6" t="str">
        <v>M</v>
      </c>
      <c r="G8" s="18">
        <v>46006</v>
      </c>
      <c r="H8" s="19" t="str">
        <v>COPA SUMA</v>
      </c>
      <c r="I8" s="6" t="str">
        <v>50m Libre</v>
      </c>
      <c r="J8" s="4">
        <v>7.0081018518518517E-4</v>
      </c>
    </row>
    <row r="9" spans="1:10" x14ac:dyDescent="0.3">
      <c r="A9" s="6"/>
      <c r="B9" s="18"/>
      <c r="C9" s="19"/>
      <c r="D9" s="6"/>
      <c r="E9" s="6"/>
      <c r="F9" s="6"/>
      <c r="G9" s="18"/>
      <c r="H9" s="19"/>
      <c r="I9" s="6"/>
      <c r="J9" s="4"/>
    </row>
    <row r="10" spans="1:10" x14ac:dyDescent="0.3">
      <c r="A10" s="6"/>
      <c r="B10" s="18"/>
      <c r="C10" s="19"/>
      <c r="D10" s="6"/>
      <c r="E10" s="6"/>
      <c r="F10" s="6"/>
      <c r="G10" s="18"/>
      <c r="H10" s="19"/>
      <c r="I10" s="6"/>
      <c r="J10" s="4"/>
    </row>
    <row r="11" spans="1:10" x14ac:dyDescent="0.3">
      <c r="A11" s="6"/>
      <c r="B11" s="18"/>
      <c r="C11" s="19"/>
      <c r="D11" s="6"/>
      <c r="E11" s="6"/>
      <c r="F11" s="6"/>
      <c r="G11" s="18"/>
      <c r="H11" s="19"/>
      <c r="I11" s="6"/>
      <c r="J11" s="4"/>
    </row>
    <row r="12" spans="1:10" x14ac:dyDescent="0.3">
      <c r="A12" s="6"/>
      <c r="B12" s="18"/>
      <c r="C12" s="19"/>
      <c r="D12" s="6"/>
      <c r="E12" s="6"/>
      <c r="F12" s="6"/>
      <c r="G12" s="18"/>
      <c r="H12" s="19"/>
      <c r="I12" s="6"/>
      <c r="J12" s="4"/>
    </row>
    <row r="13" spans="1:10" x14ac:dyDescent="0.3">
      <c r="A13" s="6"/>
      <c r="B13" s="18"/>
      <c r="C13" s="19"/>
      <c r="D13" s="6"/>
      <c r="E13" s="6"/>
      <c r="F13" s="6"/>
      <c r="G13" s="18"/>
      <c r="H13" s="19"/>
      <c r="I13" s="6"/>
      <c r="J13" s="4"/>
    </row>
    <row r="14" spans="1:10" x14ac:dyDescent="0.3">
      <c r="A14" s="6"/>
      <c r="B14" s="18"/>
      <c r="C14" s="19"/>
      <c r="D14" s="6"/>
      <c r="E14" s="6"/>
      <c r="F14" s="6"/>
      <c r="G14" s="18"/>
      <c r="H14" s="19"/>
      <c r="I14" s="6"/>
      <c r="J14" s="4"/>
    </row>
    <row r="15" spans="1:10" x14ac:dyDescent="0.3">
      <c r="A15" s="6"/>
      <c r="B15" s="18"/>
      <c r="C15" s="19"/>
      <c r="D15" s="6"/>
      <c r="E15" s="6"/>
      <c r="F15" s="6"/>
      <c r="G15" s="18"/>
      <c r="H15" s="19"/>
      <c r="I15" s="6"/>
      <c r="J15" s="4"/>
    </row>
    <row r="16" spans="1:10" x14ac:dyDescent="0.3">
      <c r="A16" s="6"/>
      <c r="B16" s="18"/>
      <c r="C16" s="19"/>
      <c r="D16" s="6"/>
      <c r="E16" s="6"/>
      <c r="F16" s="6"/>
      <c r="G16" s="18"/>
      <c r="H16" s="19"/>
      <c r="I16" s="6"/>
      <c r="J16" s="4"/>
    </row>
    <row r="17" spans="1:10" x14ac:dyDescent="0.3">
      <c r="A17" s="6"/>
      <c r="B17" s="18"/>
      <c r="C17" s="19"/>
      <c r="D17" s="6"/>
      <c r="E17" s="6"/>
      <c r="F17" s="6"/>
      <c r="G17" s="18"/>
      <c r="H17" s="19"/>
      <c r="I17" s="6"/>
      <c r="J17" s="4"/>
    </row>
    <row r="18" spans="1:10" x14ac:dyDescent="0.3">
      <c r="A18" s="6"/>
      <c r="B18" s="18"/>
      <c r="C18" s="19"/>
      <c r="D18" s="6"/>
      <c r="E18" s="6"/>
      <c r="F18" s="6"/>
      <c r="G18" s="18"/>
      <c r="H18" s="19"/>
      <c r="I18" s="6"/>
      <c r="J18" s="4"/>
    </row>
    <row r="19" spans="1:10" x14ac:dyDescent="0.3">
      <c r="A19" s="6"/>
      <c r="B19" s="18"/>
      <c r="C19" s="19"/>
      <c r="D19" s="6"/>
      <c r="E19" s="6"/>
      <c r="F19" s="6"/>
      <c r="G19" s="18"/>
      <c r="H19" s="19"/>
      <c r="I19" s="6"/>
      <c r="J19" s="4"/>
    </row>
    <row r="20" spans="1:10" x14ac:dyDescent="0.3">
      <c r="A20" s="6"/>
      <c r="B20" s="18"/>
      <c r="C20" s="19"/>
      <c r="D20" s="6"/>
      <c r="E20" s="6"/>
      <c r="F20" s="6"/>
      <c r="G20" s="18"/>
      <c r="H20" s="19"/>
      <c r="I20" s="6"/>
      <c r="J20" s="4"/>
    </row>
    <row r="21" spans="1:10" x14ac:dyDescent="0.3">
      <c r="A21" s="6"/>
      <c r="B21" s="18"/>
      <c r="C21" s="19"/>
      <c r="D21" s="6"/>
      <c r="E21" s="6"/>
      <c r="F21" s="6"/>
      <c r="G21" s="18"/>
      <c r="H21" s="19"/>
      <c r="I21" s="6"/>
      <c r="J21" s="4"/>
    </row>
    <row r="22" spans="1:10" x14ac:dyDescent="0.3">
      <c r="A22" s="6"/>
      <c r="B22" s="18"/>
      <c r="C22" s="19"/>
      <c r="D22" s="6"/>
      <c r="E22" s="6"/>
      <c r="F22" s="6"/>
      <c r="G22" s="18"/>
      <c r="H22" s="19"/>
      <c r="I22" s="6"/>
      <c r="J22" s="4"/>
    </row>
    <row r="23" spans="1:10" x14ac:dyDescent="0.3">
      <c r="A23" s="6"/>
      <c r="B23" s="18"/>
      <c r="C23" s="19"/>
      <c r="D23" s="6"/>
      <c r="E23" s="6"/>
      <c r="F23" s="6"/>
      <c r="G23" s="18"/>
      <c r="H23" s="19"/>
      <c r="I23" s="6"/>
      <c r="J23" s="4"/>
    </row>
    <row r="24" spans="1:10" x14ac:dyDescent="0.3">
      <c r="A24" s="6"/>
      <c r="B24" s="18"/>
      <c r="C24" s="19"/>
      <c r="D24" s="6"/>
      <c r="E24" s="6"/>
      <c r="F24" s="6"/>
      <c r="G24" s="18"/>
      <c r="H24" s="19"/>
      <c r="I24" s="6"/>
      <c r="J24" s="4"/>
    </row>
    <row r="25" spans="1:10" x14ac:dyDescent="0.3">
      <c r="A25" s="6"/>
      <c r="B25" s="18"/>
      <c r="C25" s="19"/>
      <c r="D25" s="6"/>
      <c r="E25" s="6"/>
      <c r="F25" s="6"/>
      <c r="G25" s="18"/>
      <c r="H25" s="19"/>
      <c r="I25" s="6"/>
      <c r="J25" s="4"/>
    </row>
    <row r="26" spans="1:10" x14ac:dyDescent="0.3">
      <c r="A26" s="6"/>
      <c r="B26" s="18"/>
      <c r="C26" s="19"/>
      <c r="D26" s="6"/>
      <c r="E26" s="6"/>
      <c r="F26" s="6"/>
      <c r="G26" s="18"/>
      <c r="H26" s="19"/>
      <c r="I26" s="6"/>
      <c r="J26" s="4"/>
    </row>
    <row r="27" spans="1:10" x14ac:dyDescent="0.3">
      <c r="A27" s="6"/>
      <c r="B27" s="18"/>
      <c r="C27" s="19"/>
      <c r="D27" s="6"/>
      <c r="E27" s="6"/>
      <c r="F27" s="6"/>
      <c r="G27" s="18"/>
      <c r="H27" s="19"/>
      <c r="I27" s="6"/>
      <c r="J27" s="4"/>
    </row>
    <row r="28" spans="1:10" x14ac:dyDescent="0.3">
      <c r="A28" s="6"/>
      <c r="B28" s="18"/>
      <c r="C28" s="19"/>
      <c r="D28" s="6"/>
      <c r="E28" s="6"/>
      <c r="F28" s="6"/>
      <c r="G28" s="18"/>
      <c r="H28" s="19"/>
      <c r="I28" s="6"/>
      <c r="J28" s="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41898A7-86D2-4713-9E96-9A8C2AF23CCF}">
          <x14:formula1>
            <xm:f>'BASE DE ATLETAS'!$C:$C</xm:f>
          </x14:formula1>
          <xm:sqref>B1</xm:sqref>
        </x14:dataValidation>
        <x14:dataValidation type="list" allowBlank="1" showInputMessage="1" showErrorMessage="1" xr:uid="{63D84E24-70E8-4695-BFD7-DD13E08AADC4}">
          <x14:formula1>
            <xm:f>GUIA!$C$3:$C$6</xm:f>
          </x14:formula1>
          <xm:sqref>B2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97C44-CC89-46C2-B548-BB37C9CEE6DA}">
  <dimension ref="A1:R14"/>
  <sheetViews>
    <sheetView showGridLines="0" tabSelected="1" zoomScale="90" zoomScaleNormal="90" workbookViewId="0">
      <pane ySplit="4" topLeftCell="A5" activePane="bottomLeft" state="frozen"/>
      <selection pane="bottomLeft" activeCell="I5" sqref="I5"/>
    </sheetView>
  </sheetViews>
  <sheetFormatPr baseColWidth="10" defaultRowHeight="14.4" x14ac:dyDescent="0.3"/>
  <cols>
    <col min="1" max="1" width="5.88671875" style="6" customWidth="1"/>
    <col min="2" max="2" width="29.33203125" customWidth="1"/>
    <col min="3" max="3" width="11.6640625" style="7" bestFit="1" customWidth="1"/>
    <col min="4" max="4" width="11" style="7" customWidth="1"/>
    <col min="5" max="5" width="8.88671875" style="7" bestFit="1" customWidth="1"/>
    <col min="6" max="7" width="11.6640625" style="7" bestFit="1" customWidth="1"/>
    <col min="8" max="8" width="9.77734375" style="7" bestFit="1" customWidth="1"/>
    <col min="9" max="9" width="8.88671875" style="7" bestFit="1" customWidth="1"/>
    <col min="10" max="10" width="9.6640625" style="7" bestFit="1" customWidth="1"/>
    <col min="11" max="11" width="10.5546875" style="7" bestFit="1" customWidth="1"/>
    <col min="12" max="12" width="9.6640625" style="7" bestFit="1" customWidth="1"/>
    <col min="13" max="13" width="10.77734375" style="7" customWidth="1"/>
    <col min="14" max="14" width="12.44140625" style="7" customWidth="1"/>
    <col min="15" max="15" width="11.88671875" style="7" customWidth="1"/>
    <col min="16" max="16" width="6" style="7" customWidth="1"/>
    <col min="17" max="17" width="22.109375" style="7" customWidth="1"/>
    <col min="18" max="18" width="12.88671875" customWidth="1"/>
  </cols>
  <sheetData>
    <row r="1" spans="1:18" ht="31.8" customHeight="1" x14ac:dyDescent="0.3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31.8" customHeight="1" x14ac:dyDescent="0.3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ht="31.8" customHeight="1" x14ac:dyDescent="0.3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18" ht="30.6" x14ac:dyDescent="0.3">
      <c r="A4" s="1" t="s">
        <v>16</v>
      </c>
      <c r="B4" s="1" t="s">
        <v>2</v>
      </c>
      <c r="C4" s="1" t="s">
        <v>20</v>
      </c>
      <c r="D4" s="1" t="s">
        <v>21</v>
      </c>
      <c r="E4" s="1" t="s">
        <v>23</v>
      </c>
      <c r="F4" s="1" t="s">
        <v>3</v>
      </c>
      <c r="G4" s="1" t="s">
        <v>15</v>
      </c>
      <c r="H4" s="1" t="s">
        <v>38</v>
      </c>
      <c r="I4" s="1" t="s">
        <v>40</v>
      </c>
      <c r="J4" s="1" t="s">
        <v>42</v>
      </c>
      <c r="K4" s="1" t="s">
        <v>14</v>
      </c>
      <c r="L4" s="1" t="s">
        <v>44</v>
      </c>
      <c r="M4" s="1" t="s">
        <v>45</v>
      </c>
      <c r="N4" s="1" t="s">
        <v>46</v>
      </c>
      <c r="O4" s="1" t="s">
        <v>4</v>
      </c>
      <c r="P4"/>
      <c r="Q4"/>
    </row>
    <row r="5" spans="1:18" x14ac:dyDescent="0.3">
      <c r="A5" s="3" t="str">
        <f>IF(Tabla57[[#This Row],[FECHA EVENTO]]=0,"-",TEXT(Tabla57[[#This Row],[FECHA EVENTO]],"YYYY"))</f>
        <v>2025</v>
      </c>
      <c r="B5" s="10" t="s">
        <v>24</v>
      </c>
      <c r="C5" s="15">
        <f>_xlfn.XLOOKUP(_xlfn.CONCAT(Tabla57[[#This Row],[AÑO EVENTO]],Tabla57[[#This Row],[NOMBRE DEL ATLETA]],Tabla57[[#Headers],[COPA SUMA]],Tabla57[[#This Row],[PRUEBA]]),Tabla3[ID],Tabla3[EDAD],"-")</f>
        <v>10</v>
      </c>
      <c r="D5" s="7" t="str">
        <f>_xlfn.XLOOKUP(C5,GUIA!A:A,GUIA!B:B,"-")</f>
        <v>INF. A</v>
      </c>
      <c r="E5" s="7" t="str">
        <f>_xlfn.XLOOKUP(Tabla57[[#This Row],[NOMBRE DEL ATLETA]],Tabla2[ATLETA],Tabla2[SEXO],"-")</f>
        <v>M</v>
      </c>
      <c r="F5" s="25">
        <f>IFERROR(MIN(Tabla57[[#This Row],[COPA SUMA]:[ULTIMO TIEMPO]]),"-")</f>
        <v>4.6423611111111107E-4</v>
      </c>
      <c r="G5" s="8">
        <v>46003</v>
      </c>
      <c r="H5" s="10" t="s">
        <v>34</v>
      </c>
      <c r="I5" s="4">
        <f>_xlfn.XLOOKUP(_xlfn.CONCAT(Tabla57[[#This Row],[AÑO EVENTO]],Tabla57[[#This Row],[NOMBRE DEL ATLETA]],Tabla57[[#Headers],[COPA SUMA]],Tabla57[[#This Row],[PRUEBA]]),Tabla3[ID],Tabla3[TIEMPO REALIZADO],"-")</f>
        <v>9.8379629629629642E-4</v>
      </c>
      <c r="J5" s="4">
        <f>_xlfn.XLOOKUP(_xlfn.CONCAT(Tabla57[[#This Row],[AÑO EVENTO]],Tabla57[[#This Row],[NOMBRE DEL ATLETA]],Tabla57[[#Headers],[COPA HECTOR]],Tabla57[[#This Row],[PRUEBA]]),Tabla3[ID],Tabla3[TIEMPO REALIZADO],"-")</f>
        <v>4.6423611111111107E-4</v>
      </c>
      <c r="K5" s="24">
        <f t="shared" ref="K5:K14" si="0">IFERROR(LOOKUP(100000,I5:J5),"-")</f>
        <v>4.6423611111111107E-4</v>
      </c>
      <c r="L5" s="30">
        <f>IF(Tabla57[[#This Row],[SEXO]]="F",_xlfn.XLOOKUP(_xlfn.CONCAT(Tabla57[[#This Row],[CATEGORIA]],Tabla57[[#This Row],[PRUEBA]]),GUIA!E:E,GUIA!I:I),_xlfn.XLOOKUP(_xlfn.CONCAT(Tabla57[[#This Row],[CATEGORIA]],Tabla57[[#This Row],[PRUEBA]]),GUIA!E:E,GUIA!J:J))</f>
        <v>4.3981481481481481E-4</v>
      </c>
      <c r="M5" s="24">
        <f>IF(Tabla57[[#This Row],[MARCA MINIMA]]-Tabla57[[#This Row],[ULTIMO TIEMPO]]&lt;0,(Tabla57[[#This Row],[MARCA MINIMA]]-Tabla57[[#This Row],[ULTIMO TIEMPO]])*-1,Tabla57[[#This Row],[MARCA MINIMA]]-Tabla57[[#This Row],[ULTIMO TIEMPO]])</f>
        <v>2.4421296296296257E-5</v>
      </c>
      <c r="N5" s="29" t="str">
        <f>IF(Tabla57[[#This Row],[MARCA MINIMA]]&gt;Tabla57[[#This Row],[ULTIMO TIEMPO]],"VALIDO","NO Valido")</f>
        <v>NO Valido</v>
      </c>
      <c r="O5" s="5"/>
      <c r="P5"/>
      <c r="Q5"/>
    </row>
    <row r="6" spans="1:18" x14ac:dyDescent="0.3">
      <c r="A6" s="3" t="str">
        <f>IF(Tabla57[[#This Row],[FECHA EVENTO]]=0,"-",TEXT(Tabla57[[#This Row],[FECHA EVENTO]],"YYYY"))</f>
        <v>2025</v>
      </c>
      <c r="B6" s="10" t="s">
        <v>5</v>
      </c>
      <c r="C6" s="15">
        <f>_xlfn.XLOOKUP(_xlfn.CONCAT(Tabla57[[#This Row],[AÑO EVENTO]],Tabla57[[#This Row],[NOMBRE DEL ATLETA]],Tabla57[[#Headers],[COPA SUMA]],Tabla57[[#This Row],[PRUEBA]]),Tabla3[ID],Tabla3[EDAD],"-")</f>
        <v>10</v>
      </c>
      <c r="D6" s="7" t="str">
        <f>_xlfn.XLOOKUP(C6,GUIA!A:A,GUIA!B:B,"-")</f>
        <v>INF. A</v>
      </c>
      <c r="E6" s="7" t="str">
        <f>_xlfn.XLOOKUP(Tabla57[[#This Row],[NOMBRE DEL ATLETA]],Tabla2[ATLETA],Tabla2[SEXO],"-")</f>
        <v>F</v>
      </c>
      <c r="F6" s="25">
        <f>IFERROR(MIN(Tabla57[[#This Row],[COPA SUMA]:[ULTIMO TIEMPO]]),"-")</f>
        <v>1.8582175925925925E-3</v>
      </c>
      <c r="G6" s="8">
        <v>46003</v>
      </c>
      <c r="H6" s="10" t="s">
        <v>34</v>
      </c>
      <c r="I6" s="4">
        <f>_xlfn.XLOOKUP(_xlfn.CONCAT(Tabla57[[#This Row],[AÑO EVENTO]],Tabla57[[#This Row],[NOMBRE DEL ATLETA]],Tabla57[[#Headers],[COPA SUMA]],Tabla57[[#This Row],[PRUEBA]]),Tabla3[ID],Tabla3[TIEMPO REALIZADO],"-")</f>
        <v>1.8582175925925925E-3</v>
      </c>
      <c r="J6" s="4" t="str">
        <f>_xlfn.XLOOKUP(_xlfn.CONCAT(Tabla57[[#This Row],[AÑO EVENTO]],Tabla57[[#This Row],[NOMBRE DEL ATLETA]],Tabla57[[#Headers],[COPA HECTOR]],Tabla57[[#This Row],[PRUEBA]]),Tabla3[ID],Tabla3[TIEMPO REALIZADO],"-")</f>
        <v>-</v>
      </c>
      <c r="K6" s="24">
        <f t="shared" si="0"/>
        <v>1.8582175925925925E-3</v>
      </c>
      <c r="L6" s="30">
        <f>IF(Tabla57[[#This Row],[SEXO]]="F",_xlfn.XLOOKUP(_xlfn.CONCAT(Tabla57[[#This Row],[CATEGORIA]],Tabla57[[#This Row],[PRUEBA]]),GUIA!E:E,GUIA!I:I),_xlfn.XLOOKUP(_xlfn.CONCAT(Tabla57[[#This Row],[CATEGORIA]],Tabla57[[#This Row],[PRUEBA]]),GUIA!E:E,GUIA!J:J))</f>
        <v>4.6296296296296298E-4</v>
      </c>
      <c r="M6" s="24">
        <f>IF(Tabla57[[#This Row],[MARCA MINIMA]]-Tabla57[[#This Row],[ULTIMO TIEMPO]]&lt;0,(Tabla57[[#This Row],[MARCA MINIMA]]-Tabla57[[#This Row],[ULTIMO TIEMPO]])*-1,Tabla57[[#This Row],[MARCA MINIMA]]-Tabla57[[#This Row],[ULTIMO TIEMPO]])</f>
        <v>1.3952546296296295E-3</v>
      </c>
      <c r="N6" s="29" t="str">
        <f>IF(Tabla57[[#This Row],[MARCA MINIMA]]&gt;Tabla57[[#This Row],[ULTIMO TIEMPO]],"VALIDO","NO Valido")</f>
        <v>NO Valido</v>
      </c>
      <c r="O6" s="5"/>
      <c r="P6"/>
      <c r="Q6"/>
    </row>
    <row r="7" spans="1:18" x14ac:dyDescent="0.3">
      <c r="A7" s="3" t="str">
        <f>IF(Tabla57[[#This Row],[FECHA EVENTO]]=0,"-",TEXT(Tabla57[[#This Row],[FECHA EVENTO]],"YYYY"))</f>
        <v>-</v>
      </c>
      <c r="B7" s="2"/>
      <c r="C7" s="15" t="str">
        <f>_xlfn.XLOOKUP(_xlfn.CONCAT(Tabla57[[#This Row],[AÑO EVENTO]],Tabla57[[#This Row],[NOMBRE DEL ATLETA]],Tabla57[[#Headers],[COPA SUMA]],Tabla57[[#This Row],[PRUEBA]]),Tabla3[ID],Tabla3[EDAD],"-")</f>
        <v>-</v>
      </c>
      <c r="D7" s="7" t="str">
        <f>_xlfn.XLOOKUP(C7,GUIA!A:A,GUIA!B:B,"-")</f>
        <v>-</v>
      </c>
      <c r="E7" s="7" t="str">
        <f>_xlfn.XLOOKUP(Tabla57[[#This Row],[NOMBRE DEL ATLETA]],Tabla2[ATLETA],Tabla2[SEXO],"-")</f>
        <v>-</v>
      </c>
      <c r="F7" s="25">
        <f>IFERROR(MIN(Tabla57[[#This Row],[COPA SUMA]:[ULTIMO TIEMPO]]),"-")</f>
        <v>0</v>
      </c>
      <c r="G7" s="2"/>
      <c r="H7" s="3"/>
      <c r="I7" s="4" t="str">
        <f>_xlfn.XLOOKUP(_xlfn.CONCAT(Tabla57[[#This Row],[AÑO EVENTO]],Tabla57[[#This Row],[NOMBRE DEL ATLETA]],Tabla57[[#Headers],[COPA SUMA]],Tabla57[[#This Row],[PRUEBA]]),Tabla3[ID],Tabla3[TIEMPO REALIZADO],"-")</f>
        <v>-</v>
      </c>
      <c r="J7" s="4" t="str">
        <f>_xlfn.XLOOKUP(_xlfn.CONCAT(Tabla57[[#This Row],[AÑO EVENTO]],Tabla57[[#This Row],[NOMBRE DEL ATLETA]],Tabla57[[#Headers],[COPA HECTOR]],Tabla57[[#This Row],[PRUEBA]]),Tabla3[ID],Tabla3[TIEMPO REALIZADO],"-")</f>
        <v>-</v>
      </c>
      <c r="K7" s="24" t="str">
        <f t="shared" si="0"/>
        <v>-</v>
      </c>
      <c r="L7" s="30" t="e">
        <f>IF(Tabla57[[#This Row],[SEXO]]="F",_xlfn.XLOOKUP(_xlfn.CONCAT(Tabla57[[#This Row],[CATEGORIA]],Tabla57[[#This Row],[PRUEBA]]),GUIA!E:E,GUIA!I:I),_xlfn.XLOOKUP(_xlfn.CONCAT(Tabla57[[#This Row],[CATEGORIA]],Tabla57[[#This Row],[PRUEBA]]),GUIA!E:E,GUIA!J:J))</f>
        <v>#N/A</v>
      </c>
      <c r="M7" s="24" t="e">
        <f>IF(Tabla57[[#This Row],[MARCA MINIMA]]-Tabla57[[#This Row],[ULTIMO TIEMPO]]&lt;0,(Tabla57[[#This Row],[MARCA MINIMA]]-Tabla57[[#This Row],[ULTIMO TIEMPO]])*-1,Tabla57[[#This Row],[MARCA MINIMA]]-Tabla57[[#This Row],[ULTIMO TIEMPO]])</f>
        <v>#N/A</v>
      </c>
      <c r="N7" s="29" t="e">
        <f>IF(Tabla57[[#This Row],[MARCA MINIMA]]&gt;Tabla57[[#This Row],[ULTIMO TIEMPO]],"VALIDO","NO Valido")</f>
        <v>#N/A</v>
      </c>
      <c r="O7" s="5"/>
      <c r="P7"/>
      <c r="Q7"/>
    </row>
    <row r="8" spans="1:18" x14ac:dyDescent="0.3">
      <c r="A8" s="3" t="str">
        <f>IF(Tabla57[[#This Row],[FECHA EVENTO]]=0,"-",TEXT(Tabla57[[#This Row],[FECHA EVENTO]],"YYYY"))</f>
        <v>-</v>
      </c>
      <c r="B8" s="2"/>
      <c r="C8" s="15" t="str">
        <f>_xlfn.XLOOKUP(_xlfn.CONCAT(Tabla57[[#This Row],[AÑO EVENTO]],Tabla57[[#This Row],[NOMBRE DEL ATLETA]],Tabla57[[#Headers],[COPA SUMA]],Tabla57[[#This Row],[PRUEBA]]),Tabla3[ID],Tabla3[EDAD],"-")</f>
        <v>-</v>
      </c>
      <c r="D8" s="7" t="str">
        <f>_xlfn.XLOOKUP(C8,GUIA!A:A,GUIA!B:B,"-")</f>
        <v>-</v>
      </c>
      <c r="E8" s="7" t="str">
        <f>_xlfn.XLOOKUP(Tabla57[[#This Row],[NOMBRE DEL ATLETA]],Tabla2[ATLETA],Tabla2[SEXO],"-")</f>
        <v>-</v>
      </c>
      <c r="F8" s="25">
        <f>IFERROR(MIN(Tabla57[[#This Row],[COPA SUMA]:[ULTIMO TIEMPO]]),"-")</f>
        <v>0</v>
      </c>
      <c r="G8" s="2"/>
      <c r="H8" s="3"/>
      <c r="I8" s="4" t="str">
        <f>_xlfn.XLOOKUP(_xlfn.CONCAT(Tabla57[[#This Row],[AÑO EVENTO]],Tabla57[[#This Row],[NOMBRE DEL ATLETA]],Tabla57[[#Headers],[COPA SUMA]],Tabla57[[#This Row],[PRUEBA]]),Tabla3[ID],Tabla3[TIEMPO REALIZADO],"-")</f>
        <v>-</v>
      </c>
      <c r="J8" s="4" t="str">
        <f>_xlfn.XLOOKUP(_xlfn.CONCAT(Tabla57[[#This Row],[AÑO EVENTO]],Tabla57[[#This Row],[NOMBRE DEL ATLETA]],Tabla57[[#Headers],[COPA HECTOR]],Tabla57[[#This Row],[PRUEBA]]),Tabla3[ID],Tabla3[TIEMPO REALIZADO],"-")</f>
        <v>-</v>
      </c>
      <c r="K8" s="24" t="str">
        <f t="shared" si="0"/>
        <v>-</v>
      </c>
      <c r="L8" s="30" t="e">
        <f>IF(Tabla57[[#This Row],[SEXO]]="F",_xlfn.XLOOKUP(_xlfn.CONCAT(Tabla57[[#This Row],[CATEGORIA]],Tabla57[[#This Row],[PRUEBA]]),GUIA!E:E,GUIA!I:I),_xlfn.XLOOKUP(_xlfn.CONCAT(Tabla57[[#This Row],[CATEGORIA]],Tabla57[[#This Row],[PRUEBA]]),GUIA!E:E,GUIA!J:J))</f>
        <v>#N/A</v>
      </c>
      <c r="M8" s="24" t="e">
        <f>IF(Tabla57[[#This Row],[MARCA MINIMA]]-Tabla57[[#This Row],[ULTIMO TIEMPO]]&lt;0,(Tabla57[[#This Row],[MARCA MINIMA]]-Tabla57[[#This Row],[ULTIMO TIEMPO]])*-1,Tabla57[[#This Row],[MARCA MINIMA]]-Tabla57[[#This Row],[ULTIMO TIEMPO]])</f>
        <v>#N/A</v>
      </c>
      <c r="N8" s="29" t="e">
        <f>IF(Tabla57[[#This Row],[MARCA MINIMA]]&gt;Tabla57[[#This Row],[ULTIMO TIEMPO]],"VALIDO","NO Valido")</f>
        <v>#N/A</v>
      </c>
      <c r="O8" s="5"/>
      <c r="P8"/>
      <c r="Q8"/>
    </row>
    <row r="9" spans="1:18" x14ac:dyDescent="0.3">
      <c r="A9" s="3" t="str">
        <f>IF(Tabla57[[#This Row],[FECHA EVENTO]]=0,"-",TEXT(Tabla57[[#This Row],[FECHA EVENTO]],"YYYY"))</f>
        <v>-</v>
      </c>
      <c r="B9" s="2"/>
      <c r="C9" s="15" t="str">
        <f>_xlfn.XLOOKUP(_xlfn.CONCAT(Tabla57[[#This Row],[AÑO EVENTO]],Tabla57[[#This Row],[NOMBRE DEL ATLETA]],Tabla57[[#Headers],[COPA SUMA]],Tabla57[[#This Row],[PRUEBA]]),Tabla3[ID],Tabla3[EDAD],"-")</f>
        <v>-</v>
      </c>
      <c r="D9" s="7" t="str">
        <f>_xlfn.XLOOKUP(C9,GUIA!A:A,GUIA!B:B,"-")</f>
        <v>-</v>
      </c>
      <c r="E9" s="7" t="str">
        <f>_xlfn.XLOOKUP(Tabla57[[#This Row],[NOMBRE DEL ATLETA]],Tabla2[ATLETA],Tabla2[SEXO],"-")</f>
        <v>-</v>
      </c>
      <c r="F9" s="25">
        <f>IFERROR(MIN(Tabla57[[#This Row],[COPA SUMA]:[ULTIMO TIEMPO]]),"-")</f>
        <v>0</v>
      </c>
      <c r="G9" s="2"/>
      <c r="H9" s="3"/>
      <c r="I9" s="4" t="str">
        <f>_xlfn.XLOOKUP(_xlfn.CONCAT(Tabla57[[#This Row],[AÑO EVENTO]],Tabla57[[#This Row],[NOMBRE DEL ATLETA]],Tabla57[[#Headers],[COPA SUMA]],Tabla57[[#This Row],[PRUEBA]]),Tabla3[ID],Tabla3[TIEMPO REALIZADO],"-")</f>
        <v>-</v>
      </c>
      <c r="J9" s="4" t="str">
        <f>_xlfn.XLOOKUP(_xlfn.CONCAT(Tabla57[[#This Row],[AÑO EVENTO]],Tabla57[[#This Row],[NOMBRE DEL ATLETA]],Tabla57[[#Headers],[COPA HECTOR]],Tabla57[[#This Row],[PRUEBA]]),Tabla3[ID],Tabla3[TIEMPO REALIZADO],"-")</f>
        <v>-</v>
      </c>
      <c r="K9" s="24" t="str">
        <f t="shared" si="0"/>
        <v>-</v>
      </c>
      <c r="L9" s="30" t="e">
        <f>IF(Tabla57[[#This Row],[SEXO]]="F",_xlfn.XLOOKUP(_xlfn.CONCAT(Tabla57[[#This Row],[CATEGORIA]],Tabla57[[#This Row],[PRUEBA]]),GUIA!E:E,GUIA!I:I),_xlfn.XLOOKUP(_xlfn.CONCAT(Tabla57[[#This Row],[CATEGORIA]],Tabla57[[#This Row],[PRUEBA]]),GUIA!E:E,GUIA!J:J))</f>
        <v>#N/A</v>
      </c>
      <c r="M9" s="24" t="e">
        <f>IF(Tabla57[[#This Row],[MARCA MINIMA]]-Tabla57[[#This Row],[ULTIMO TIEMPO]]&lt;0,(Tabla57[[#This Row],[MARCA MINIMA]]-Tabla57[[#This Row],[ULTIMO TIEMPO]])*-1,Tabla57[[#This Row],[MARCA MINIMA]]-Tabla57[[#This Row],[ULTIMO TIEMPO]])</f>
        <v>#N/A</v>
      </c>
      <c r="N9" s="29" t="e">
        <f>IF(Tabla57[[#This Row],[MARCA MINIMA]]&gt;Tabla57[[#This Row],[ULTIMO TIEMPO]],"VALIDO","NO Valido")</f>
        <v>#N/A</v>
      </c>
      <c r="O9" s="5"/>
      <c r="P9"/>
      <c r="Q9"/>
    </row>
    <row r="10" spans="1:18" x14ac:dyDescent="0.3">
      <c r="A10" s="3" t="str">
        <f>IF(Tabla57[[#This Row],[FECHA EVENTO]]=0,"-",TEXT(Tabla57[[#This Row],[FECHA EVENTO]],"YYYY"))</f>
        <v>-</v>
      </c>
      <c r="B10" s="2"/>
      <c r="C10" s="15" t="str">
        <f>_xlfn.XLOOKUP(_xlfn.CONCAT(Tabla57[[#This Row],[AÑO EVENTO]],Tabla57[[#This Row],[NOMBRE DEL ATLETA]],Tabla57[[#Headers],[COPA SUMA]],Tabla57[[#This Row],[PRUEBA]]),Tabla3[ID],Tabla3[EDAD],"-")</f>
        <v>-</v>
      </c>
      <c r="D10" s="7" t="str">
        <f>_xlfn.XLOOKUP(C10,GUIA!A:A,GUIA!B:B,"-")</f>
        <v>-</v>
      </c>
      <c r="E10" s="7" t="str">
        <f>_xlfn.XLOOKUP(Tabla57[[#This Row],[NOMBRE DEL ATLETA]],Tabla2[ATLETA],Tabla2[SEXO],"-")</f>
        <v>-</v>
      </c>
      <c r="F10" s="25">
        <f>IFERROR(MIN(Tabla57[[#This Row],[COPA SUMA]:[ULTIMO TIEMPO]]),"-")</f>
        <v>0</v>
      </c>
      <c r="G10" s="2"/>
      <c r="H10" s="3"/>
      <c r="I10" s="4" t="str">
        <f>_xlfn.XLOOKUP(_xlfn.CONCAT(Tabla57[[#This Row],[AÑO EVENTO]],Tabla57[[#This Row],[NOMBRE DEL ATLETA]],Tabla57[[#Headers],[COPA SUMA]],Tabla57[[#This Row],[PRUEBA]]),Tabla3[ID],Tabla3[TIEMPO REALIZADO],"-")</f>
        <v>-</v>
      </c>
      <c r="J10" s="4" t="str">
        <f>_xlfn.XLOOKUP(_xlfn.CONCAT(Tabla57[[#This Row],[AÑO EVENTO]],Tabla57[[#This Row],[NOMBRE DEL ATLETA]],Tabla57[[#Headers],[COPA HECTOR]],Tabla57[[#This Row],[PRUEBA]]),Tabla3[ID],Tabla3[TIEMPO REALIZADO],"-")</f>
        <v>-</v>
      </c>
      <c r="K10" s="24" t="str">
        <f t="shared" si="0"/>
        <v>-</v>
      </c>
      <c r="L10" s="30" t="e">
        <f>IF(Tabla57[[#This Row],[SEXO]]="F",_xlfn.XLOOKUP(_xlfn.CONCAT(Tabla57[[#This Row],[CATEGORIA]],Tabla57[[#This Row],[PRUEBA]]),GUIA!E:E,GUIA!I:I),_xlfn.XLOOKUP(_xlfn.CONCAT(Tabla57[[#This Row],[CATEGORIA]],Tabla57[[#This Row],[PRUEBA]]),GUIA!E:E,GUIA!J:J))</f>
        <v>#N/A</v>
      </c>
      <c r="M10" s="24" t="e">
        <f>IF(Tabla57[[#This Row],[MARCA MINIMA]]-Tabla57[[#This Row],[ULTIMO TIEMPO]]&lt;0,(Tabla57[[#This Row],[MARCA MINIMA]]-Tabla57[[#This Row],[ULTIMO TIEMPO]])*-1,Tabla57[[#This Row],[MARCA MINIMA]]-Tabla57[[#This Row],[ULTIMO TIEMPO]])</f>
        <v>#N/A</v>
      </c>
      <c r="N10" s="29" t="e">
        <f>IF(Tabla57[[#This Row],[MARCA MINIMA]]&gt;Tabla57[[#This Row],[ULTIMO TIEMPO]],"VALIDO","NO Valido")</f>
        <v>#N/A</v>
      </c>
      <c r="O10" s="5"/>
      <c r="P10"/>
      <c r="Q10"/>
    </row>
    <row r="11" spans="1:18" x14ac:dyDescent="0.3">
      <c r="A11" s="3" t="str">
        <f>IF(Tabla57[[#This Row],[FECHA EVENTO]]=0,"-",TEXT(Tabla57[[#This Row],[FECHA EVENTO]],"YYYY"))</f>
        <v>-</v>
      </c>
      <c r="B11" s="2"/>
      <c r="C11" s="15" t="str">
        <f>_xlfn.XLOOKUP(_xlfn.CONCAT(Tabla57[[#This Row],[AÑO EVENTO]],Tabla57[[#This Row],[NOMBRE DEL ATLETA]],Tabla57[[#Headers],[COPA SUMA]],Tabla57[[#This Row],[PRUEBA]]),Tabla3[ID],Tabla3[EDAD],"-")</f>
        <v>-</v>
      </c>
      <c r="D11" s="7" t="str">
        <f>_xlfn.XLOOKUP(C11,GUIA!A:A,GUIA!B:B,"-")</f>
        <v>-</v>
      </c>
      <c r="E11" s="7" t="str">
        <f>_xlfn.XLOOKUP(Tabla57[[#This Row],[NOMBRE DEL ATLETA]],Tabla2[ATLETA],Tabla2[SEXO],"-")</f>
        <v>-</v>
      </c>
      <c r="F11" s="25">
        <f>IFERROR(MIN(Tabla57[[#This Row],[COPA SUMA]:[ULTIMO TIEMPO]]),"-")</f>
        <v>0</v>
      </c>
      <c r="G11" s="2"/>
      <c r="H11" s="3"/>
      <c r="I11" s="4" t="str">
        <f>_xlfn.XLOOKUP(_xlfn.CONCAT(Tabla57[[#This Row],[AÑO EVENTO]],Tabla57[[#This Row],[NOMBRE DEL ATLETA]],Tabla57[[#Headers],[COPA SUMA]],Tabla57[[#This Row],[PRUEBA]]),Tabla3[ID],Tabla3[TIEMPO REALIZADO],"-")</f>
        <v>-</v>
      </c>
      <c r="J11" s="4" t="str">
        <f>_xlfn.XLOOKUP(_xlfn.CONCAT(Tabla57[[#This Row],[AÑO EVENTO]],Tabla57[[#This Row],[NOMBRE DEL ATLETA]],Tabla57[[#Headers],[COPA HECTOR]],Tabla57[[#This Row],[PRUEBA]]),Tabla3[ID],Tabla3[TIEMPO REALIZADO],"-")</f>
        <v>-</v>
      </c>
      <c r="K11" s="24" t="str">
        <f t="shared" si="0"/>
        <v>-</v>
      </c>
      <c r="L11" s="30" t="e">
        <f>IF(Tabla57[[#This Row],[SEXO]]="F",_xlfn.XLOOKUP(_xlfn.CONCAT(Tabla57[[#This Row],[CATEGORIA]],Tabla57[[#This Row],[PRUEBA]]),GUIA!E:E,GUIA!I:I),_xlfn.XLOOKUP(_xlfn.CONCAT(Tabla57[[#This Row],[CATEGORIA]],Tabla57[[#This Row],[PRUEBA]]),GUIA!E:E,GUIA!J:J))</f>
        <v>#N/A</v>
      </c>
      <c r="M11" s="24" t="e">
        <f>IF(Tabla57[[#This Row],[MARCA MINIMA]]-Tabla57[[#This Row],[ULTIMO TIEMPO]]&lt;0,(Tabla57[[#This Row],[MARCA MINIMA]]-Tabla57[[#This Row],[ULTIMO TIEMPO]])*-1,Tabla57[[#This Row],[MARCA MINIMA]]-Tabla57[[#This Row],[ULTIMO TIEMPO]])</f>
        <v>#N/A</v>
      </c>
      <c r="N11" s="29" t="e">
        <f>IF(Tabla57[[#This Row],[MARCA MINIMA]]&gt;Tabla57[[#This Row],[ULTIMO TIEMPO]],"VALIDO","NO Valido")</f>
        <v>#N/A</v>
      </c>
      <c r="O11" s="5"/>
      <c r="P11"/>
      <c r="Q11"/>
    </row>
    <row r="12" spans="1:18" x14ac:dyDescent="0.3">
      <c r="A12" s="3" t="str">
        <f>IF(Tabla57[[#This Row],[FECHA EVENTO]]=0,"-",TEXT(Tabla57[[#This Row],[FECHA EVENTO]],"YYYY"))</f>
        <v>-</v>
      </c>
      <c r="B12" s="2"/>
      <c r="C12" s="15" t="str">
        <f>_xlfn.XLOOKUP(_xlfn.CONCAT(Tabla57[[#This Row],[AÑO EVENTO]],Tabla57[[#This Row],[NOMBRE DEL ATLETA]],Tabla57[[#Headers],[COPA SUMA]],Tabla57[[#This Row],[PRUEBA]]),Tabla3[ID],Tabla3[EDAD],"-")</f>
        <v>-</v>
      </c>
      <c r="D12" s="7" t="str">
        <f>_xlfn.XLOOKUP(C12,GUIA!A:A,GUIA!B:B,"-")</f>
        <v>-</v>
      </c>
      <c r="E12" s="7" t="str">
        <f>_xlfn.XLOOKUP(Tabla57[[#This Row],[NOMBRE DEL ATLETA]],Tabla2[ATLETA],Tabla2[SEXO],"-")</f>
        <v>-</v>
      </c>
      <c r="F12" s="25">
        <f>IFERROR(MIN(Tabla57[[#This Row],[COPA SUMA]:[ULTIMO TIEMPO]]),"-")</f>
        <v>0</v>
      </c>
      <c r="G12" s="2"/>
      <c r="H12" s="3"/>
      <c r="I12" s="4" t="str">
        <f>_xlfn.XLOOKUP(_xlfn.CONCAT(Tabla57[[#This Row],[AÑO EVENTO]],Tabla57[[#This Row],[NOMBRE DEL ATLETA]],Tabla57[[#Headers],[COPA SUMA]],Tabla57[[#This Row],[PRUEBA]]),Tabla3[ID],Tabla3[TIEMPO REALIZADO],"-")</f>
        <v>-</v>
      </c>
      <c r="J12" s="4" t="str">
        <f>_xlfn.XLOOKUP(_xlfn.CONCAT(Tabla57[[#This Row],[AÑO EVENTO]],Tabla57[[#This Row],[NOMBRE DEL ATLETA]],Tabla57[[#Headers],[COPA HECTOR]],Tabla57[[#This Row],[PRUEBA]]),Tabla3[ID],Tabla3[TIEMPO REALIZADO],"-")</f>
        <v>-</v>
      </c>
      <c r="K12" s="24" t="str">
        <f t="shared" si="0"/>
        <v>-</v>
      </c>
      <c r="L12" s="30" t="e">
        <f>IF(Tabla57[[#This Row],[SEXO]]="F",_xlfn.XLOOKUP(_xlfn.CONCAT(Tabla57[[#This Row],[CATEGORIA]],Tabla57[[#This Row],[PRUEBA]]),GUIA!E:E,GUIA!I:I),_xlfn.XLOOKUP(_xlfn.CONCAT(Tabla57[[#This Row],[CATEGORIA]],Tabla57[[#This Row],[PRUEBA]]),GUIA!E:E,GUIA!J:J))</f>
        <v>#N/A</v>
      </c>
      <c r="M12" s="24" t="e">
        <f>IF(Tabla57[[#This Row],[MARCA MINIMA]]-Tabla57[[#This Row],[ULTIMO TIEMPO]]&lt;0,(Tabla57[[#This Row],[MARCA MINIMA]]-Tabla57[[#This Row],[ULTIMO TIEMPO]])*-1,Tabla57[[#This Row],[MARCA MINIMA]]-Tabla57[[#This Row],[ULTIMO TIEMPO]])</f>
        <v>#N/A</v>
      </c>
      <c r="N12" s="29" t="e">
        <f>IF(Tabla57[[#This Row],[MARCA MINIMA]]&gt;Tabla57[[#This Row],[ULTIMO TIEMPO]],"VALIDO","NO Valido")</f>
        <v>#N/A</v>
      </c>
      <c r="O12" s="5"/>
      <c r="P12"/>
      <c r="Q12"/>
    </row>
    <row r="13" spans="1:18" x14ac:dyDescent="0.3">
      <c r="A13" s="3" t="str">
        <f>IF(Tabla57[[#This Row],[FECHA EVENTO]]=0,"-",TEXT(Tabla57[[#This Row],[FECHA EVENTO]],"YYYY"))</f>
        <v>-</v>
      </c>
      <c r="B13" s="2"/>
      <c r="C13" s="15" t="str">
        <f>_xlfn.XLOOKUP(_xlfn.CONCAT(Tabla57[[#This Row],[AÑO EVENTO]],Tabla57[[#This Row],[NOMBRE DEL ATLETA]],Tabla57[[#Headers],[COPA SUMA]],Tabla57[[#This Row],[PRUEBA]]),Tabla3[ID],Tabla3[EDAD],"-")</f>
        <v>-</v>
      </c>
      <c r="D13" s="7" t="str">
        <f>_xlfn.XLOOKUP(C13,GUIA!A:A,GUIA!B:B,"-")</f>
        <v>-</v>
      </c>
      <c r="E13" s="7" t="str">
        <f>_xlfn.XLOOKUP(Tabla57[[#This Row],[NOMBRE DEL ATLETA]],Tabla2[ATLETA],Tabla2[SEXO],"-")</f>
        <v>-</v>
      </c>
      <c r="F13" s="25">
        <f>IFERROR(MIN(Tabla57[[#This Row],[COPA SUMA]:[ULTIMO TIEMPO]]),"-")</f>
        <v>0</v>
      </c>
      <c r="G13" s="2"/>
      <c r="H13" s="3"/>
      <c r="I13" s="4" t="str">
        <f>_xlfn.XLOOKUP(_xlfn.CONCAT(Tabla57[[#This Row],[AÑO EVENTO]],Tabla57[[#This Row],[NOMBRE DEL ATLETA]],Tabla57[[#Headers],[COPA SUMA]],Tabla57[[#This Row],[PRUEBA]]),Tabla3[ID],Tabla3[TIEMPO REALIZADO],"-")</f>
        <v>-</v>
      </c>
      <c r="J13" s="4" t="str">
        <f>_xlfn.XLOOKUP(_xlfn.CONCAT(Tabla57[[#This Row],[AÑO EVENTO]],Tabla57[[#This Row],[NOMBRE DEL ATLETA]],Tabla57[[#Headers],[COPA HECTOR]],Tabla57[[#This Row],[PRUEBA]]),Tabla3[ID],Tabla3[TIEMPO REALIZADO],"-")</f>
        <v>-</v>
      </c>
      <c r="K13" s="24" t="str">
        <f t="shared" si="0"/>
        <v>-</v>
      </c>
      <c r="L13" s="30" t="e">
        <f>IF(Tabla57[[#This Row],[SEXO]]="F",_xlfn.XLOOKUP(_xlfn.CONCAT(Tabla57[[#This Row],[CATEGORIA]],Tabla57[[#This Row],[PRUEBA]]),GUIA!E:E,GUIA!I:I),_xlfn.XLOOKUP(_xlfn.CONCAT(Tabla57[[#This Row],[CATEGORIA]],Tabla57[[#This Row],[PRUEBA]]),GUIA!E:E,GUIA!J:J))</f>
        <v>#N/A</v>
      </c>
      <c r="M13" s="24" t="e">
        <f>IF(Tabla57[[#This Row],[MARCA MINIMA]]-Tabla57[[#This Row],[ULTIMO TIEMPO]]&lt;0,(Tabla57[[#This Row],[MARCA MINIMA]]-Tabla57[[#This Row],[ULTIMO TIEMPO]])*-1,Tabla57[[#This Row],[MARCA MINIMA]]-Tabla57[[#This Row],[ULTIMO TIEMPO]])</f>
        <v>#N/A</v>
      </c>
      <c r="N13" s="29" t="e">
        <f>IF(Tabla57[[#This Row],[MARCA MINIMA]]&gt;Tabla57[[#This Row],[ULTIMO TIEMPO]],"VALIDO","NO Valido")</f>
        <v>#N/A</v>
      </c>
      <c r="O13" s="5"/>
      <c r="P13"/>
      <c r="Q13"/>
    </row>
    <row r="14" spans="1:18" x14ac:dyDescent="0.3">
      <c r="A14" s="3" t="str">
        <f>IF(Tabla57[[#This Row],[FECHA EVENTO]]=0,"-",TEXT(Tabla57[[#This Row],[FECHA EVENTO]],"YYYY"))</f>
        <v>-</v>
      </c>
      <c r="B14" s="2"/>
      <c r="C14" s="15" t="str">
        <f>_xlfn.XLOOKUP(_xlfn.CONCAT(Tabla57[[#This Row],[AÑO EVENTO]],Tabla57[[#This Row],[NOMBRE DEL ATLETA]],Tabla57[[#Headers],[COPA SUMA]],Tabla57[[#This Row],[PRUEBA]]),Tabla3[ID],Tabla3[EDAD],"-")</f>
        <v>-</v>
      </c>
      <c r="D14" s="7" t="str">
        <f>_xlfn.XLOOKUP(C14,GUIA!A:A,GUIA!B:B,"-")</f>
        <v>-</v>
      </c>
      <c r="E14" s="7" t="str">
        <f>_xlfn.XLOOKUP(Tabla57[[#This Row],[NOMBRE DEL ATLETA]],Tabla2[ATLETA],Tabla2[SEXO],"-")</f>
        <v>-</v>
      </c>
      <c r="F14" s="25">
        <f>IFERROR(MIN(Tabla57[[#This Row],[COPA SUMA]:[ULTIMO TIEMPO]]),"-")</f>
        <v>0</v>
      </c>
      <c r="G14" s="2"/>
      <c r="H14" s="3"/>
      <c r="I14" s="4" t="str">
        <f>_xlfn.XLOOKUP(_xlfn.CONCAT(Tabla57[[#This Row],[AÑO EVENTO]],Tabla57[[#This Row],[NOMBRE DEL ATLETA]],Tabla57[[#Headers],[COPA SUMA]],Tabla57[[#This Row],[PRUEBA]]),Tabla3[ID],Tabla3[TIEMPO REALIZADO],"-")</f>
        <v>-</v>
      </c>
      <c r="J14" s="4" t="str">
        <f>_xlfn.XLOOKUP(_xlfn.CONCAT(Tabla57[[#This Row],[AÑO EVENTO]],Tabla57[[#This Row],[NOMBRE DEL ATLETA]],Tabla57[[#Headers],[COPA HECTOR]],Tabla57[[#This Row],[PRUEBA]]),Tabla3[ID],Tabla3[TIEMPO REALIZADO],"-")</f>
        <v>-</v>
      </c>
      <c r="K14" s="24" t="str">
        <f t="shared" si="0"/>
        <v>-</v>
      </c>
      <c r="L14" s="30" t="e">
        <f>IF(Tabla57[[#This Row],[SEXO]]="F",_xlfn.XLOOKUP(_xlfn.CONCAT(Tabla57[[#This Row],[CATEGORIA]],Tabla57[[#This Row],[PRUEBA]]),GUIA!E:E,GUIA!I:I),_xlfn.XLOOKUP(_xlfn.CONCAT(Tabla57[[#This Row],[CATEGORIA]],Tabla57[[#This Row],[PRUEBA]]),GUIA!E:E,GUIA!J:J))</f>
        <v>#N/A</v>
      </c>
      <c r="M14" s="24" t="e">
        <f>IF(Tabla57[[#This Row],[MARCA MINIMA]]-Tabla57[[#This Row],[ULTIMO TIEMPO]]&lt;0,(Tabla57[[#This Row],[MARCA MINIMA]]-Tabla57[[#This Row],[ULTIMO TIEMPO]])*-1,Tabla57[[#This Row],[MARCA MINIMA]]-Tabla57[[#This Row],[ULTIMO TIEMPO]])</f>
        <v>#N/A</v>
      </c>
      <c r="N14" s="29" t="e">
        <f>IF(Tabla57[[#This Row],[MARCA MINIMA]]&gt;Tabla57[[#This Row],[ULTIMO TIEMPO]],"VALIDO","NO Valido")</f>
        <v>#N/A</v>
      </c>
      <c r="O14" s="5"/>
      <c r="P14"/>
      <c r="Q14"/>
    </row>
  </sheetData>
  <phoneticPr fontId="7" type="noConversion"/>
  <conditionalFormatting sqref="I5:J14">
    <cfRule type="cellIs" dxfId="16" priority="10" operator="equal">
      <formula>0</formula>
    </cfRule>
    <cfRule type="cellIs" dxfId="15" priority="11" operator="equal">
      <formula>$F5</formula>
    </cfRule>
  </conditionalFormatting>
  <conditionalFormatting sqref="M5:M14">
    <cfRule type="cellIs" dxfId="14" priority="3" operator="greaterThan">
      <formula>$K5&gt;$L5</formula>
    </cfRule>
    <cfRule type="cellIs" dxfId="13" priority="4" operator="lessThan">
      <formula>$K5&lt;$L5</formula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2F4C60E-E09E-47E0-A0FB-B15A00C9F4C9}">
          <x14:formula1>
            <xm:f>GUIA!$C$3:$C$6</xm:f>
          </x14:formula1>
          <xm:sqref>H5:H6</xm:sqref>
        </x14:dataValidation>
        <x14:dataValidation type="list" allowBlank="1" showInputMessage="1" showErrorMessage="1" xr:uid="{1CBFEC13-8A91-4107-86ED-AAABC39F68F7}">
          <x14:formula1>
            <xm:f>'BASE DE ATLETAS'!$C:$C</xm:f>
          </x14:formula1>
          <xm:sqref>B5:B6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span" xr2:uid="{EC75A0A6-D9A8-4741-B71A-5E129850EC3E}">
          <x14:colorSeries theme="5" tint="-0.249977111117893"/>
          <x14:colorNegative theme="6"/>
          <x14:colorAxis rgb="FF000000"/>
          <x14:colorMarkers theme="6" tint="-0.249977111117893"/>
          <x14:colorFirst theme="6" tint="-0.249977111117893"/>
          <x14:colorLast theme="6" tint="-0.249977111117893"/>
          <x14:colorHigh theme="6" tint="-0.249977111117893"/>
          <x14:colorLow theme="6" tint="-0.249977111117893"/>
          <x14:sparklines>
            <x14:sparkline>
              <xm:f>'TIEMPOS COMPARATIVOS'!I5:K5</xm:f>
              <xm:sqref>O5</xm:sqref>
            </x14:sparkline>
            <x14:sparkline>
              <xm:f>'TIEMPOS COMPARATIVOS'!I6:K6</xm:f>
              <xm:sqref>O6</xm:sqref>
            </x14:sparkline>
            <x14:sparkline>
              <xm:f>'TIEMPOS COMPARATIVOS'!I7:K7</xm:f>
              <xm:sqref>O7</xm:sqref>
            </x14:sparkline>
            <x14:sparkline>
              <xm:f>'TIEMPOS COMPARATIVOS'!I8:K8</xm:f>
              <xm:sqref>O8</xm:sqref>
            </x14:sparkline>
            <x14:sparkline>
              <xm:f>'TIEMPOS COMPARATIVOS'!I9:K9</xm:f>
              <xm:sqref>O9</xm:sqref>
            </x14:sparkline>
            <x14:sparkline>
              <xm:f>'TIEMPOS COMPARATIVOS'!I10:K10</xm:f>
              <xm:sqref>O10</xm:sqref>
            </x14:sparkline>
            <x14:sparkline>
              <xm:f>'TIEMPOS COMPARATIVOS'!I11:K11</xm:f>
              <xm:sqref>O11</xm:sqref>
            </x14:sparkline>
            <x14:sparkline>
              <xm:f>'TIEMPOS COMPARATIVOS'!I12:K12</xm:f>
              <xm:sqref>O12</xm:sqref>
            </x14:sparkline>
            <x14:sparkline>
              <xm:f>'TIEMPOS COMPARATIVOS'!I13:K13</xm:f>
              <xm:sqref>O13</xm:sqref>
            </x14:sparkline>
            <x14:sparkline>
              <xm:f>'TIEMPOS COMPARATIVOS'!I14:K14</xm:f>
              <xm:sqref>O14</xm:sqref>
            </x14:sparkline>
          </x14:sparklines>
        </x14:sparklineGroup>
      </x14:sparklineGroups>
    </ex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GUIA</vt:lpstr>
      <vt:lpstr>BASE DE ATLETAS</vt:lpstr>
      <vt:lpstr>REPOSITORIO DE TIEMPOS</vt:lpstr>
      <vt:lpstr>BUSCADOR DE RESULTADOS</vt:lpstr>
      <vt:lpstr>TIEMPOS COMPARATIVOS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</dc:creator>
  <cp:lastModifiedBy>Raul Vicuña</cp:lastModifiedBy>
  <dcterms:created xsi:type="dcterms:W3CDTF">2015-06-05T18:19:34Z</dcterms:created>
  <dcterms:modified xsi:type="dcterms:W3CDTF">2025-12-15T18:26:41Z</dcterms:modified>
</cp:coreProperties>
</file>