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úl\OneDrive\Escritorio\SUMA\"/>
    </mc:Choice>
  </mc:AlternateContent>
  <xr:revisionPtr revIDLastSave="0" documentId="13_ncr:1_{E1D75B24-9783-48BE-A905-E046552A9210}" xr6:coauthVersionLast="47" xr6:coauthVersionMax="47" xr10:uidLastSave="{00000000-0000-0000-0000-000000000000}"/>
  <bookViews>
    <workbookView xWindow="-108" yWindow="-108" windowWidth="23256" windowHeight="12456" firstSheet="5" activeTab="7" xr2:uid="{14CA3608-06EE-411B-9F2F-16EA4BF844F6}"/>
  </bookViews>
  <sheets>
    <sheet name="CREACION DE CALCULADORA" sheetId="9" r:id="rId1"/>
    <sheet name="CALCULADORA" sheetId="10" r:id="rId2"/>
    <sheet name="Reporte de Macrociclo" sheetId="8" r:id="rId3"/>
    <sheet name="Planificador Macrociclo" sheetId="5" r:id="rId4"/>
    <sheet name="Reporte Volumen de Entr." sheetId="7" r:id="rId5"/>
    <sheet name="Repositorio de Entrenamientos" sheetId="1" r:id="rId6"/>
    <sheet name="Buscador Entrenamientos" sheetId="2" r:id="rId7"/>
    <sheet name="Buscador de Ejercicios" sheetId="3" r:id="rId8"/>
  </sheets>
  <definedNames>
    <definedName name="_xlnm._FilterDatabase" localSheetId="6" hidden="1">'Buscador Entrenamientos'!$B$4:$N$4</definedName>
    <definedName name="SegmentaciónDeDatos_Grupo">#N/A</definedName>
    <definedName name="SegmentaciónDeDatos_Mes">#N/A</definedName>
    <definedName name="SegmentaciónDeDatos_Mes1">#N/A</definedName>
  </definedNames>
  <calcPr calcId="191029"/>
  <pivotCaches>
    <pivotCache cacheId="0" r:id="rId9"/>
    <pivotCache cacheId="1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5" l="1"/>
  <c r="E10" i="5"/>
  <c r="F10" i="5"/>
  <c r="D9" i="5"/>
  <c r="E9" i="5"/>
  <c r="F9" i="5"/>
  <c r="E6" i="9"/>
  <c r="L20" i="10"/>
  <c r="L21" i="10" s="1"/>
  <c r="K20" i="10"/>
  <c r="K21" i="10" s="1"/>
  <c r="J20" i="10"/>
  <c r="J21" i="10" s="1"/>
  <c r="I20" i="10"/>
  <c r="I21" i="10" s="1"/>
  <c r="H20" i="10"/>
  <c r="H21" i="10" s="1"/>
  <c r="G20" i="10"/>
  <c r="G21" i="10" s="1"/>
  <c r="F20" i="10"/>
  <c r="F21" i="10" s="1"/>
  <c r="E20" i="10"/>
  <c r="E21" i="10" s="1"/>
  <c r="D20" i="10"/>
  <c r="D21" i="10" s="1"/>
  <c r="L15" i="10"/>
  <c r="L16" i="10" s="1"/>
  <c r="K15" i="10"/>
  <c r="K16" i="10" s="1"/>
  <c r="J15" i="10"/>
  <c r="J16" i="10" s="1"/>
  <c r="I15" i="10"/>
  <c r="I16" i="10" s="1"/>
  <c r="H15" i="10"/>
  <c r="H16" i="10" s="1"/>
  <c r="G15" i="10"/>
  <c r="G16" i="10" s="1"/>
  <c r="F15" i="10"/>
  <c r="F16" i="10" s="1"/>
  <c r="E15" i="10"/>
  <c r="E16" i="10" s="1"/>
  <c r="D15" i="10"/>
  <c r="D16" i="10" s="1"/>
  <c r="L10" i="10"/>
  <c r="L11" i="10" s="1"/>
  <c r="K10" i="10"/>
  <c r="K11" i="10" s="1"/>
  <c r="J10" i="10"/>
  <c r="J11" i="10" s="1"/>
  <c r="I10" i="10"/>
  <c r="I11" i="10" s="1"/>
  <c r="H10" i="10"/>
  <c r="H11" i="10" s="1"/>
  <c r="G10" i="10"/>
  <c r="G11" i="10" s="1"/>
  <c r="F10" i="10"/>
  <c r="F11" i="10" s="1"/>
  <c r="E10" i="10"/>
  <c r="E11" i="10" s="1"/>
  <c r="D10" i="10"/>
  <c r="D11" i="10" s="1"/>
  <c r="L5" i="10"/>
  <c r="L6" i="10" s="1"/>
  <c r="K5" i="10"/>
  <c r="K6" i="10" s="1"/>
  <c r="J5" i="10"/>
  <c r="J6" i="10" s="1"/>
  <c r="I5" i="10"/>
  <c r="I6" i="10" s="1"/>
  <c r="H5" i="10"/>
  <c r="H6" i="10" s="1"/>
  <c r="G5" i="10"/>
  <c r="G6" i="10" s="1"/>
  <c r="F5" i="10"/>
  <c r="F6" i="10" s="1"/>
  <c r="E5" i="10"/>
  <c r="E6" i="10" s="1"/>
  <c r="D5" i="10"/>
  <c r="D6" i="10" s="1"/>
  <c r="E14" i="9"/>
  <c r="F8" i="5"/>
  <c r="E8" i="5"/>
  <c r="D8" i="5"/>
  <c r="F3" i="1"/>
  <c r="F4" i="1"/>
  <c r="F5" i="1"/>
  <c r="F6" i="1"/>
  <c r="F7" i="1"/>
  <c r="F8" i="1"/>
  <c r="F9" i="1"/>
  <c r="F10" i="1"/>
  <c r="F11" i="1"/>
  <c r="F12" i="1"/>
  <c r="E3" i="1"/>
  <c r="E4" i="1"/>
  <c r="E5" i="1"/>
  <c r="E6" i="1"/>
  <c r="E7" i="1"/>
  <c r="E8" i="1"/>
  <c r="E9" i="1"/>
  <c r="E10" i="1"/>
  <c r="E11" i="1"/>
  <c r="E12" i="1"/>
  <c r="E2" i="1"/>
  <c r="F2" i="1"/>
  <c r="L3" i="1"/>
  <c r="B5" i="3" s="1" a="1"/>
  <c r="L4" i="1"/>
  <c r="L5" i="1"/>
  <c r="L6" i="1"/>
  <c r="L7" i="1"/>
  <c r="L8" i="1"/>
  <c r="N3" i="1"/>
  <c r="N4" i="1"/>
  <c r="N5" i="1"/>
  <c r="N6" i="1"/>
  <c r="N7" i="1"/>
  <c r="N8" i="1"/>
  <c r="L11" i="1"/>
  <c r="N11" i="1"/>
  <c r="L9" i="1"/>
  <c r="N9" i="1"/>
  <c r="N10" i="1"/>
  <c r="N12" i="1"/>
  <c r="N2" i="1"/>
  <c r="L10" i="1"/>
  <c r="L12" i="1"/>
  <c r="L2" i="1"/>
  <c r="B5" i="3" l="1"/>
  <c r="B5" i="2" a="1"/>
  <c r="B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<sst xmlns="http://schemas.openxmlformats.org/spreadsheetml/2006/main" count="202" uniqueCount="79">
  <si>
    <t>Objetivo</t>
  </si>
  <si>
    <t>Ejercicios</t>
  </si>
  <si>
    <t>Intensidad</t>
  </si>
  <si>
    <t>Técnica crol</t>
  </si>
  <si>
    <t>Resistencia</t>
  </si>
  <si>
    <t>Velocidad</t>
  </si>
  <si>
    <t>FECHA</t>
  </si>
  <si>
    <t>Día</t>
  </si>
  <si>
    <t>Grupo</t>
  </si>
  <si>
    <t>Series</t>
  </si>
  <si>
    <t>Metros</t>
  </si>
  <si>
    <t>Volumen Total (m)</t>
  </si>
  <si>
    <t>Crol punto muerto</t>
  </si>
  <si>
    <t>Crol ritmo aeróbico</t>
  </si>
  <si>
    <t>Crol sprint</t>
  </si>
  <si>
    <t>Tiempo Ejec.</t>
  </si>
  <si>
    <t>Total Tiempo</t>
  </si>
  <si>
    <t>Mes</t>
  </si>
  <si>
    <t>EQUIPO INF.</t>
  </si>
  <si>
    <t>GRUPO</t>
  </si>
  <si>
    <t>ENTRENAMIENTOS</t>
  </si>
  <si>
    <t>SEMANA</t>
  </si>
  <si>
    <t>SEMANA 2</t>
  </si>
  <si>
    <t>SEMANA 3</t>
  </si>
  <si>
    <t>SEMANA 4</t>
  </si>
  <si>
    <t>SEMANA 5</t>
  </si>
  <si>
    <t>REPOSITORIO DE ENTRENAMIENTOS</t>
  </si>
  <si>
    <t>EJERCICIOS</t>
  </si>
  <si>
    <t>Potencia</t>
  </si>
  <si>
    <t>Semana</t>
  </si>
  <si>
    <t>Año</t>
  </si>
  <si>
    <t>Objetivo General</t>
  </si>
  <si>
    <t>Volumen (m)</t>
  </si>
  <si>
    <t>Comentarios</t>
  </si>
  <si>
    <t/>
  </si>
  <si>
    <t>Etiquetas de fila</t>
  </si>
  <si>
    <t>diciembre</t>
  </si>
  <si>
    <t xml:space="preserve"> Volumen Total (m)</t>
  </si>
  <si>
    <t>COMPETENCIA:</t>
  </si>
  <si>
    <t>FECHA DE COMPETICIÓN:</t>
  </si>
  <si>
    <t>SEMANAS DE PREPARACIÓN:</t>
  </si>
  <si>
    <t>ENTRENADOR EN JEFE:</t>
  </si>
  <si>
    <t>ENTRENADOR ASISTENTE:</t>
  </si>
  <si>
    <t>CLUB DEPORTIVO:</t>
  </si>
  <si>
    <t>GRUPO:</t>
  </si>
  <si>
    <t>SEMANA 1</t>
  </si>
  <si>
    <t>Fecha Inicio</t>
  </si>
  <si>
    <t>R2</t>
  </si>
  <si>
    <t>Implementos</t>
  </si>
  <si>
    <t>Zona Entrenamiento</t>
  </si>
  <si>
    <t>ALTO</t>
  </si>
  <si>
    <t>PALAS</t>
  </si>
  <si>
    <t>PULSO MAX. 160ppm</t>
  </si>
  <si>
    <t xml:space="preserve"> Volumen (m)</t>
  </si>
  <si>
    <t>UMBRAL = SUPERAR EL TIEMPO MAXIMO LOGRADO</t>
  </si>
  <si>
    <t>"(MEJOR TIEMPO - (%OBJETIVO * MEJOR TIEMPO) / 100%"</t>
  </si>
  <si>
    <t>%OBJETIVO</t>
  </si>
  <si>
    <t>MEJOR TIEMPO</t>
  </si>
  <si>
    <t>100%</t>
  </si>
  <si>
    <t>RESULTADO</t>
  </si>
  <si>
    <t>OBJETIVO = ESTABLECER TIEMPOS DE PASE SEGÚN EL MEJOR TIEMPO REALIZADO</t>
  </si>
  <si>
    <t>"(100% * MEJOR TIEMPO) / %OBJETIVO"</t>
  </si>
  <si>
    <t>Atleta:</t>
  </si>
  <si>
    <t>Porcentaje</t>
  </si>
  <si>
    <t>Prueba:</t>
  </si>
  <si>
    <t>50 m Crol</t>
  </si>
  <si>
    <t>Tiempo</t>
  </si>
  <si>
    <t>SUMA DE SEGUNDOS</t>
  </si>
  <si>
    <t>100 m Crol</t>
  </si>
  <si>
    <t>200 m Crol</t>
  </si>
  <si>
    <t>400 m Crol</t>
  </si>
  <si>
    <t>CALCULADORA DE INTENSIDADES PARA ENTRENAMIENTO OBJETIVO</t>
  </si>
  <si>
    <t>MEDIO</t>
  </si>
  <si>
    <t>PALAS, ALETAS, PULL</t>
  </si>
  <si>
    <t>PULSO MAX. 150ppm</t>
  </si>
  <si>
    <t>Resistencia a la Fuerza</t>
  </si>
  <si>
    <t>PALAS, ALETAS, PULL, PARACAIDAS</t>
  </si>
  <si>
    <t>R1</t>
  </si>
  <si>
    <t>ANAEROBIOCO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</si>
</sst>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mm:ss.00"/>
    <numFmt numFmtId="165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b/>
      <sz val="11"/>
      <name val="Calibri"/>
      <family val="2"/>
    </font>
    <font>
      <b/>
      <sz val="8"/>
      <color theme="1"/>
      <name val="Segoe UI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164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21" fontId="4" fillId="0" borderId="0" xfId="0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3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21" fontId="4" fillId="0" borderId="0" xfId="0" applyNumberFormat="1" applyFont="1" applyAlignment="1">
      <alignment horizontal="center" vertical="center"/>
    </xf>
    <xf numFmtId="165" fontId="0" fillId="0" borderId="0" xfId="1" applyNumberFormat="1" applyFont="1"/>
    <xf numFmtId="165" fontId="0" fillId="0" borderId="0" xfId="0" applyNumberFormat="1"/>
    <xf numFmtId="0" fontId="8" fillId="0" borderId="0" xfId="0" applyFont="1"/>
    <xf numFmtId="0" fontId="9" fillId="0" borderId="0" xfId="0" applyFont="1"/>
    <xf numFmtId="47" fontId="0" fillId="0" borderId="0" xfId="0" applyNumberFormat="1"/>
    <xf numFmtId="9" fontId="0" fillId="0" borderId="0" xfId="0" applyNumberFormat="1" applyAlignment="1">
      <alignment horizontal="center" vertical="center"/>
    </xf>
    <xf numFmtId="9" fontId="0" fillId="0" borderId="0" xfId="0" applyNumberFormat="1"/>
    <xf numFmtId="16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0" fontId="9" fillId="0" borderId="0" xfId="0" applyFont="1" applyAlignment="1">
      <alignment horizontal="right"/>
    </xf>
    <xf numFmtId="164" fontId="8" fillId="0" borderId="0" xfId="0" applyNumberFormat="1" applyFont="1"/>
    <xf numFmtId="9" fontId="8" fillId="0" borderId="3" xfId="0" applyNumberFormat="1" applyFont="1" applyBorder="1" applyAlignment="1">
      <alignment horizontal="center"/>
    </xf>
    <xf numFmtId="0" fontId="9" fillId="0" borderId="4" xfId="0" applyFont="1" applyBorder="1"/>
    <xf numFmtId="164" fontId="9" fillId="0" borderId="5" xfId="0" applyNumberFormat="1" applyFont="1" applyBorder="1"/>
    <xf numFmtId="164" fontId="9" fillId="0" borderId="3" xfId="0" applyNumberFormat="1" applyFont="1" applyBorder="1" applyAlignment="1">
      <alignment horizontal="center"/>
    </xf>
    <xf numFmtId="164" fontId="0" fillId="0" borderId="0" xfId="0" applyNumberFormat="1"/>
    <xf numFmtId="0" fontId="9" fillId="0" borderId="5" xfId="0" applyFont="1" applyBorder="1"/>
    <xf numFmtId="0" fontId="9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4" fillId="0" borderId="0" xfId="0" applyNumberFormat="1" applyFont="1" applyAlignment="1">
      <alignment horizontal="center" vertical="center"/>
    </xf>
    <xf numFmtId="3" fontId="0" fillId="0" borderId="0" xfId="0" applyNumberFormat="1"/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43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mm:ss.00"/>
      <alignment horizontal="center" vertical="center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164" formatCode="mm:ss.00"/>
      <alignment horizontal="center" vertical="center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mm:ss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64" formatCode="mm:ss.00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6" formatCode="h:mm:ss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26" formatCode="h:mm:ss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9" formatCode="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[N° 2 PROYECTO PLANIFICACION DE ENTRENAMIENTOS SUMA.xlsx]Reporte de Macrociclo!TablaDinámica3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de Macrociclo'!$D$2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'Reporte de Macrociclo'!$C$3:$C$12</c:f>
              <c:multiLvlStrCache>
                <c:ptCount val="3"/>
                <c:lvl>
                  <c:pt idx="0">
                    <c:v>R2</c:v>
                  </c:pt>
                  <c:pt idx="1">
                    <c:v>R2</c:v>
                  </c:pt>
                  <c:pt idx="2">
                    <c:v>R2</c:v>
                  </c:pt>
                </c:lvl>
                <c:lvl>
                  <c:pt idx="0">
                    <c:v>Resistencia</c:v>
                  </c:pt>
                  <c:pt idx="1">
                    <c:v>Resistencia</c:v>
                  </c:pt>
                  <c:pt idx="2">
                    <c:v>Resistencia a la Fuerza</c:v>
                  </c:pt>
                </c:lvl>
                <c:lvl>
                  <c:pt idx="0">
                    <c:v>SEMANA 1</c:v>
                  </c:pt>
                  <c:pt idx="1">
                    <c:v>SEMANA 2</c:v>
                  </c:pt>
                  <c:pt idx="2">
                    <c:v>SEMANA 3</c:v>
                  </c:pt>
                </c:lvl>
                <c:lvl>
                  <c:pt idx="0">
                    <c:v>diciembre</c:v>
                  </c:pt>
                </c:lvl>
              </c:multiLvlStrCache>
            </c:multiLvlStrRef>
          </c:cat>
          <c:val>
            <c:numRef>
              <c:f>'Reporte de Macrociclo'!$D$3:$D$12</c:f>
              <c:numCache>
                <c:formatCode>_-* #,##0_-;\-* #,##0_-;_-* "-"??_-;_-@_-</c:formatCode>
                <c:ptCount val="3"/>
                <c:pt idx="0">
                  <c:v>60000</c:v>
                </c:pt>
                <c:pt idx="1">
                  <c:v>80000</c:v>
                </c:pt>
                <c:pt idx="2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5C-4D80-93BD-C39EFC8F46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6248287"/>
        <c:axId val="1266247807"/>
      </c:barChart>
      <c:catAx>
        <c:axId val="12662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66247807"/>
        <c:crosses val="autoZero"/>
        <c:auto val="1"/>
        <c:lblAlgn val="ctr"/>
        <c:lblOffset val="100"/>
        <c:noMultiLvlLbl val="0"/>
      </c:catAx>
      <c:valAx>
        <c:axId val="1266247807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12662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[N° 2 PROYECTO PLANIFICACION DE ENTRENAMIENTOS SUMA.xlsx]Reporte Volumen de Entr.!TablaDinámica2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POR SESIÓN Y SEMANA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'Reporte Volumen de Entr.'!$D$2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'Reporte Volumen de Entr.'!$C$3:$C$13</c:f>
              <c:multiLvlStrCache>
                <c:ptCount val="5"/>
                <c:lvl>
                  <c:pt idx="0">
                    <c:v>8/12/2025</c:v>
                  </c:pt>
                  <c:pt idx="1">
                    <c:v>9/12/2025</c:v>
                  </c:pt>
                  <c:pt idx="2">
                    <c:v>10/12/2025</c:v>
                  </c:pt>
                  <c:pt idx="3">
                    <c:v>11/12/2025</c:v>
                  </c:pt>
                  <c:pt idx="4">
                    <c:v>12/12/2025</c:v>
                  </c:pt>
                </c:lvl>
                <c:lvl>
                  <c:pt idx="0">
                    <c:v>SEMANA 2</c:v>
                  </c:pt>
                  <c:pt idx="2">
                    <c:v>SEMANA 3</c:v>
                  </c:pt>
                  <c:pt idx="3">
                    <c:v>SEMANA 4</c:v>
                  </c:pt>
                  <c:pt idx="4">
                    <c:v>SEMANA 5</c:v>
                  </c:pt>
                </c:lvl>
                <c:lvl>
                  <c:pt idx="0">
                    <c:v>EQUIPO INF.</c:v>
                  </c:pt>
                </c:lvl>
                <c:lvl>
                  <c:pt idx="0">
                    <c:v>diciembre</c:v>
                  </c:pt>
                </c:lvl>
              </c:multiLvlStrCache>
            </c:multiLvlStrRef>
          </c:cat>
          <c:val>
            <c:numRef>
              <c:f>'Reporte Volumen de Entr.'!$D$3:$D$13</c:f>
              <c:numCache>
                <c:formatCode>#,##0</c:formatCode>
                <c:ptCount val="5"/>
                <c:pt idx="0">
                  <c:v>3600</c:v>
                </c:pt>
                <c:pt idx="1">
                  <c:v>3200</c:v>
                </c:pt>
                <c:pt idx="2">
                  <c:v>1200</c:v>
                </c:pt>
                <c:pt idx="3">
                  <c:v>120</c:v>
                </c:pt>
                <c:pt idx="4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1-47D3-B6BD-D3F6D173A5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053339872"/>
        <c:axId val="1053341792"/>
      </c:barChart>
      <c:catAx>
        <c:axId val="10533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53341792"/>
        <c:crosses val="autoZero"/>
        <c:auto val="1"/>
        <c:lblAlgn val="ctr"/>
        <c:lblOffset val="100"/>
        <c:noMultiLvlLbl val="0"/>
      </c:catAx>
      <c:valAx>
        <c:axId val="1053341792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05333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97629</xdr:colOff>
      <xdr:row>0</xdr:row>
      <xdr:rowOff>0</xdr:rowOff>
    </xdr:from>
    <xdr:to>
      <xdr:col>7</xdr:col>
      <xdr:colOff>364329</xdr:colOff>
      <xdr:row>0</xdr:row>
      <xdr:rowOff>2042159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46C515-1A01-3C8F-A962-E9FDA3105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104775</xdr:colOff>
      <xdr:row>0</xdr:row>
      <xdr:rowOff>52387</xdr:rowOff>
    </xdr:from>
    <xdr:to>
      <xdr:col>1</xdr:col>
      <xdr:colOff>819150</xdr:colOff>
      <xdr:row>0</xdr:row>
      <xdr:rowOff>723900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 1">
              <a:extLst>
                <a:ext uri="{FF2B5EF4-FFF2-40B4-BE49-F238E27FC236}">
                  <a16:creationId xmlns:a16="http://schemas.microsoft.com/office/drawing/2014/main" id="{D3CD3EE0-7B81-D8CC-191C-571B675BE4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52387"/>
              <a:ext cx="1828800" cy="6715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4764</xdr:colOff>
      <xdr:row>0</xdr:row>
      <xdr:rowOff>33337</xdr:rowOff>
    </xdr:from>
    <xdr:to>
      <xdr:col>9</xdr:col>
      <xdr:colOff>144780</xdr:colOff>
      <xdr:row>0</xdr:row>
      <xdr:rowOff>3290888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77BB39-7A3C-6F58-4D8F-CFF3EC1F2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14287</xdr:rowOff>
    </xdr:from>
    <xdr:to>
      <xdr:col>1</xdr:col>
      <xdr:colOff>676275</xdr:colOff>
      <xdr:row>0</xdr:row>
      <xdr:rowOff>681038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Grupo">
              <a:extLst>
                <a:ext uri="{FF2B5EF4-FFF2-40B4-BE49-F238E27FC236}">
                  <a16:creationId xmlns:a16="http://schemas.microsoft.com/office/drawing/2014/main" id="{7B55B52A-BF80-79CA-50E8-148A259391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87"/>
              <a:ext cx="1828800" cy="6667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752474</xdr:rowOff>
    </xdr:from>
    <xdr:to>
      <xdr:col>1</xdr:col>
      <xdr:colOff>676275</xdr:colOff>
      <xdr:row>0</xdr:row>
      <xdr:rowOff>1457325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es">
              <a:extLst>
                <a:ext uri="{FF2B5EF4-FFF2-40B4-BE49-F238E27FC236}">
                  <a16:creationId xmlns:a16="http://schemas.microsoft.com/office/drawing/2014/main" id="{FB82D772-DA2E-6716-F69B-598B22BA65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52474"/>
              <a:ext cx="1828800" cy="7048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úl" refreshedDate="46005.494625462961" createdVersion="8" refreshedVersion="8" minRefreshableVersion="3" recordCount="3" xr:uid="{35674D4C-E1D0-40E0-8429-718FF1934533}">
  <cacheSource type="worksheet">
    <worksheetSource name="Tabla3"/>
  </cacheSource>
  <cacheFields count="11">
    <cacheField name="Semana" numFmtId="0">
      <sharedItems count="3">
        <s v="SEMANA 1"/>
        <s v="SEMANA 2"/>
        <s v="SEMANA 3"/>
      </sharedItems>
    </cacheField>
    <cacheField name="Fecha Inicio" numFmtId="14">
      <sharedItems containsSemiMixedTypes="0" containsNonDate="0" containsDate="1" containsString="0" minDate="2025-12-08T00:00:00" maxDate="2025-12-23T00:00:00"/>
    </cacheField>
    <cacheField name="Día" numFmtId="0">
      <sharedItems/>
    </cacheField>
    <cacheField name="Mes" numFmtId="0">
      <sharedItems count="2">
        <s v="diciembre"/>
        <s v="enero" u="1"/>
      </sharedItems>
    </cacheField>
    <cacheField name="Año" numFmtId="0">
      <sharedItems/>
    </cacheField>
    <cacheField name="Objetivo General" numFmtId="0">
      <sharedItems containsBlank="1" count="3">
        <s v="Resistencia"/>
        <s v="Resistencia a la Fuerza"/>
        <m u="1"/>
      </sharedItems>
    </cacheField>
    <cacheField name="Zona Entrenamiento" numFmtId="0">
      <sharedItems containsBlank="1" count="2">
        <s v="R2"/>
        <m u="1"/>
      </sharedItems>
    </cacheField>
    <cacheField name="Volumen (m)" numFmtId="3">
      <sharedItems containsSemiMixedTypes="0" containsString="0" containsNumber="1" containsInteger="1" minValue="50000" maxValue="80000"/>
    </cacheField>
    <cacheField name="Intensidad" numFmtId="0">
      <sharedItems/>
    </cacheField>
    <cacheField name="Implementos" numFmtId="0">
      <sharedItems/>
    </cacheField>
    <cacheField name="Comentarios" numFmtId="0">
      <sharedItems/>
    </cacheField>
  </cacheFields>
  <extLst>
    <ext xmlns:x14="http://schemas.microsoft.com/office/spreadsheetml/2009/9/main" uri="{725AE2AE-9491-48be-B2B4-4EB974FC3084}">
      <x14:pivotCacheDefinition pivotCacheId="1103079927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úl" refreshedDate="46005.506512384258" createdVersion="8" refreshedVersion="8" minRefreshableVersion="3" recordCount="11" xr:uid="{272001C6-79FC-4801-B624-D6ADF9CC71A8}">
  <cacheSource type="worksheet">
    <worksheetSource name="Tabla1"/>
  </cacheSource>
  <cacheFields count="14">
    <cacheField name="Grupo" numFmtId="0">
      <sharedItems count="1">
        <s v="EQUIPO INF."/>
      </sharedItems>
    </cacheField>
    <cacheField name="SEMANA" numFmtId="0">
      <sharedItems count="4">
        <s v="SEMANA 2"/>
        <s v="SEMANA 3"/>
        <s v="SEMANA 4"/>
        <s v="SEMANA 5"/>
      </sharedItems>
    </cacheField>
    <cacheField name="FECHA" numFmtId="14">
      <sharedItems containsSemiMixedTypes="0" containsNonDate="0" containsDate="1" containsString="0" minDate="2025-12-08T00:00:00" maxDate="2025-12-13T00:00:00" count="5">
        <d v="2025-12-08T00:00:00"/>
        <d v="2025-12-09T00:00:00"/>
        <d v="2025-12-10T00:00:00"/>
        <d v="2025-12-11T00:00:00"/>
        <d v="2025-12-12T00:00:00"/>
      </sharedItems>
    </cacheField>
    <cacheField name="Día" numFmtId="0">
      <sharedItems/>
    </cacheField>
    <cacheField name="Mes" numFmtId="0">
      <sharedItems count="1">
        <s v="diciembre"/>
      </sharedItems>
    </cacheField>
    <cacheField name="Zona Entrenamiento" numFmtId="0">
      <sharedItems/>
    </cacheField>
    <cacheField name="Objetivo" numFmtId="0">
      <sharedItems/>
    </cacheField>
    <cacheField name="Ejercicios" numFmtId="0">
      <sharedItems/>
    </cacheField>
    <cacheField name="Series" numFmtId="0">
      <sharedItems containsSemiMixedTypes="0" containsString="0" containsNumber="1" containsInteger="1" minValue="2" maxValue="12"/>
    </cacheField>
    <cacheField name="Metros" numFmtId="0">
      <sharedItems containsSemiMixedTypes="0" containsString="0" containsNumber="1" containsInteger="1" minValue="15" maxValue="800"/>
    </cacheField>
    <cacheField name="Volumen Total (m)" numFmtId="3">
      <sharedItems containsSemiMixedTypes="0" containsString="0" containsNumber="1" containsInteger="1" minValue="120" maxValue="3200"/>
    </cacheField>
    <cacheField name="Tiempo Ejec." numFmtId="21">
      <sharedItems containsSemiMixedTypes="0" containsNonDate="0" containsDate="1" containsString="0" minDate="1899-12-30T00:01:00" maxDate="1899-12-30T00:15:00"/>
    </cacheField>
    <cacheField name="Total Tiempo" numFmtId="21">
      <sharedItems containsSemiMixedTypes="0" containsNonDate="0" containsDate="1" containsString="0" minDate="1899-12-30T00:02:00" maxDate="1899-12-30T01:30:00"/>
    </cacheField>
    <cacheField name="Intensida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481022740"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5-12-08T00:00:00"/>
    <s v="lunes"/>
    <x v="0"/>
    <s v="2025"/>
    <x v="0"/>
    <x v="0"/>
    <n v="60000"/>
    <s v="ALTO"/>
    <s v="PALAS"/>
    <s v="PULSO MAX. 160ppm"/>
  </r>
  <r>
    <x v="1"/>
    <d v="2025-12-15T00:00:00"/>
    <s v="lunes"/>
    <x v="0"/>
    <s v="2025"/>
    <x v="0"/>
    <x v="0"/>
    <n v="80000"/>
    <s v="MEDIO"/>
    <s v="PALAS, ALETAS, PULL"/>
    <s v="PULSO MAX. 150ppm"/>
  </r>
  <r>
    <x v="2"/>
    <d v="2025-12-22T00:00:00"/>
    <s v="lunes"/>
    <x v="0"/>
    <s v="2025"/>
    <x v="1"/>
    <x v="0"/>
    <n v="50000"/>
    <s v="ALTO"/>
    <s v="PALAS, ALETAS, PULL, PARACAIDAS"/>
    <s v="PULSO MAX. 160pp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s v="lunes"/>
    <x v="0"/>
    <s v="R1"/>
    <s v="Técnica crol"/>
    <s v="Crol punto muerto"/>
    <n v="8"/>
    <n v="50"/>
    <n v="400"/>
    <d v="1899-12-30T00:01:00"/>
    <d v="1899-12-30T00:08:00"/>
    <m/>
  </r>
  <r>
    <x v="0"/>
    <x v="0"/>
    <x v="0"/>
    <s v="lunes"/>
    <x v="0"/>
    <s v="R1"/>
    <s v="Técnica crol"/>
    <s v="Crol punto muerto"/>
    <n v="6"/>
    <n v="200"/>
    <n v="1200"/>
    <d v="1899-12-30T00:01:00"/>
    <d v="1899-12-30T00:06:00"/>
    <m/>
  </r>
  <r>
    <x v="0"/>
    <x v="0"/>
    <x v="0"/>
    <s v="lunes"/>
    <x v="0"/>
    <s v="R1"/>
    <s v="Técnica crol"/>
    <s v="Crol punto muerto"/>
    <n v="4"/>
    <n v="100"/>
    <n v="400"/>
    <d v="1899-12-30T00:01:00"/>
    <d v="1899-12-30T00:04:00"/>
    <m/>
  </r>
  <r>
    <x v="0"/>
    <x v="0"/>
    <x v="0"/>
    <s v="lunes"/>
    <x v="0"/>
    <s v="R1"/>
    <s v="Técnica crol"/>
    <s v="Crol punto muerto"/>
    <n v="10"/>
    <n v="25"/>
    <n v="250"/>
    <d v="1899-12-30T00:01:00"/>
    <d v="1899-12-30T00:10:00"/>
    <m/>
  </r>
  <r>
    <x v="0"/>
    <x v="0"/>
    <x v="0"/>
    <s v="lunes"/>
    <x v="0"/>
    <s v="R1"/>
    <s v="Técnica crol"/>
    <s v="Crol punto muerto"/>
    <n v="2"/>
    <n v="400"/>
    <n v="800"/>
    <d v="1899-12-30T00:01:00"/>
    <d v="1899-12-30T00:02:00"/>
    <m/>
  </r>
  <r>
    <x v="0"/>
    <x v="0"/>
    <x v="0"/>
    <s v="lunes"/>
    <x v="0"/>
    <s v="R1"/>
    <s v="Técnica crol"/>
    <s v="Crol punto muerto"/>
    <n v="6"/>
    <n v="50"/>
    <n v="300"/>
    <d v="1899-12-30T00:01:00"/>
    <d v="1899-12-30T00:06:00"/>
    <m/>
  </r>
  <r>
    <x v="0"/>
    <x v="0"/>
    <x v="0"/>
    <s v="lunes"/>
    <x v="0"/>
    <s v="R1"/>
    <s v="Técnica crol"/>
    <s v="Crol punto muerto"/>
    <n v="10"/>
    <n v="25"/>
    <n v="250"/>
    <d v="1899-12-30T00:01:00"/>
    <d v="1899-12-30T00:10:00"/>
    <m/>
  </r>
  <r>
    <x v="0"/>
    <x v="0"/>
    <x v="1"/>
    <s v="martes"/>
    <x v="0"/>
    <s v="R2"/>
    <s v="Resistencia"/>
    <s v="Crol ritmo aeróbico"/>
    <n v="4"/>
    <n v="800"/>
    <n v="3200"/>
    <d v="1899-12-30T00:15:00"/>
    <d v="1899-12-30T01:00:00"/>
    <m/>
  </r>
  <r>
    <x v="0"/>
    <x v="1"/>
    <x v="2"/>
    <s v="miércoles"/>
    <x v="0"/>
    <s v="R2"/>
    <s v="Resistencia"/>
    <s v="Crol ritmo aeróbico"/>
    <n v="6"/>
    <n v="200"/>
    <n v="1200"/>
    <d v="1899-12-30T00:15:00"/>
    <d v="1899-12-30T01:30:00"/>
    <m/>
  </r>
  <r>
    <x v="0"/>
    <x v="2"/>
    <x v="3"/>
    <s v="jueves"/>
    <x v="0"/>
    <s v="ANAEROBIOCO"/>
    <s v="Potencia"/>
    <s v="Crol sprint"/>
    <n v="8"/>
    <n v="15"/>
    <n v="120"/>
    <d v="1899-12-30T00:02:00"/>
    <d v="1899-12-30T00:16:00"/>
    <m/>
  </r>
  <r>
    <x v="0"/>
    <x v="3"/>
    <x v="4"/>
    <s v="viernes"/>
    <x v="0"/>
    <s v="ANAEROBIOCO"/>
    <s v="Velocidad"/>
    <s v="Crol sprint"/>
    <n v="12"/>
    <n v="25"/>
    <n v="300"/>
    <d v="1899-12-30T00:02:00"/>
    <d v="1899-12-30T00:24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C374E5-CE86-4818-97CD-7DAB9144EBC1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">
  <location ref="C2:D12" firstHeaderRow="1" firstDataRow="1" firstDataCol="1"/>
  <pivotFields count="11">
    <pivotField axis="axisRow" showAll="0" defaultSubtotal="0">
      <items count="3">
        <item x="0"/>
        <item x="1"/>
        <item x="2"/>
      </items>
    </pivotField>
    <pivotField numFmtId="14" showAll="0" defaultSubtotal="0"/>
    <pivotField showAll="0" defaultSubtotal="0"/>
    <pivotField axis="axisRow" showAll="0" defaultSubtotal="0">
      <items count="2">
        <item x="0"/>
        <item m="1" x="1"/>
      </items>
    </pivotField>
    <pivotField showAll="0" defaultSubtotal="0"/>
    <pivotField axis="axisRow" showAll="0" defaultSubtotal="0">
      <items count="3">
        <item x="0"/>
        <item m="1" x="2"/>
        <item x="1"/>
      </items>
    </pivotField>
    <pivotField axis="axisRow" showAll="0" defaultSubtotal="0">
      <items count="2">
        <item x="0"/>
        <item m="1" x="1"/>
      </items>
    </pivotField>
    <pivotField dataField="1" showAll="0" defaultSubtotal="0"/>
    <pivotField showAll="0" defaultSubtotal="0"/>
    <pivotField showAll="0" defaultSubtotal="0"/>
    <pivotField showAll="0" defaultSubtotal="0"/>
  </pivotFields>
  <rowFields count="4">
    <field x="3"/>
    <field x="0"/>
    <field x="5"/>
    <field x="6"/>
  </rowFields>
  <rowItems count="10">
    <i>
      <x/>
    </i>
    <i r="1">
      <x/>
    </i>
    <i r="2">
      <x/>
    </i>
    <i r="3">
      <x/>
    </i>
    <i r="1">
      <x v="1"/>
    </i>
    <i r="2">
      <x/>
    </i>
    <i r="3">
      <x/>
    </i>
    <i r="1">
      <x v="2"/>
    </i>
    <i r="2">
      <x v="2"/>
    </i>
    <i r="3">
      <x/>
    </i>
  </rowItems>
  <colItems count="1">
    <i/>
  </colItems>
  <dataFields count="1">
    <dataField name=" Volumen (m)" fld="7" baseField="0" baseItem="0" numFmtId="165"/>
  </dataFields>
  <formats count="2">
    <format dxfId="14">
      <pivotArea outline="0" collapsedLevelsAreSubtotals="1" fieldPosition="0"/>
    </format>
    <format dxfId="1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9C9AD-65DE-4B19-9189-81CE403530F4}" name="TablaDiná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C2:D13" firstHeaderRow="1" firstDataRow="1" firstDataCol="1"/>
  <pivotFields count="14">
    <pivotField axis="axisRow" showAll="0" defaultSubtotal="0">
      <items count="1">
        <item x="0"/>
      </items>
    </pivotField>
    <pivotField axis="axisRow" showAll="0" defaultSubtotal="0">
      <items count="4">
        <item x="0"/>
        <item x="1"/>
        <item x="2"/>
        <item x="3"/>
      </items>
    </pivotField>
    <pivotField axis="axisRow" numFmtId="14" showAll="0" defaultSubtotal="0">
      <items count="5">
        <item x="0"/>
        <item x="1"/>
        <item x="2"/>
        <item x="3"/>
        <item x="4"/>
      </items>
    </pivotField>
    <pivotField showAll="0" defaultSubtotal="0"/>
    <pivotField axis="axisRow" showAll="0" defaultSubtotal="0">
      <items count="1">
        <item x="0"/>
      </items>
    </pivotField>
    <pivotField subtotalTop="0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21" showAll="0" defaultSubtotal="0"/>
    <pivotField showAll="0" defaultSubtotal="0"/>
  </pivotFields>
  <rowFields count="4">
    <field x="4"/>
    <field x="0"/>
    <field x="1"/>
    <field x="2"/>
  </rowFields>
  <rowItems count="11">
    <i>
      <x/>
    </i>
    <i r="1">
      <x/>
    </i>
    <i r="2">
      <x/>
    </i>
    <i r="3">
      <x/>
    </i>
    <i r="3">
      <x v="1"/>
    </i>
    <i r="2">
      <x v="1"/>
    </i>
    <i r="3">
      <x v="2"/>
    </i>
    <i r="2">
      <x v="2"/>
    </i>
    <i r="3">
      <x v="3"/>
    </i>
    <i r="2">
      <x v="3"/>
    </i>
    <i r="3">
      <x v="4"/>
    </i>
  </rowItems>
  <colItems count="1">
    <i/>
  </colItems>
  <dataFields count="1">
    <dataField name=" Volumen Total (m)" fld="10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2" count="1" selected="0">
            <x v="4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  <reference field="4" count="1" selected="0">
            <x v="0"/>
          </reference>
        </references>
      </pivotArea>
    </chartFormat>
    <chartFormat chart="0" format="3" series="1">
      <pivotArea type="data" outline="0" fieldPosition="0">
        <references count="5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  <reference field="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rupo" xr10:uid="{9F3443C4-7106-4B47-881B-30084897777B}" sourceName="Grupo">
  <pivotTables>
    <pivotTable tabId="7" name="TablaDinámica2"/>
  </pivotTables>
  <data>
    <tabular pivotCacheId="481022740">
      <items count="1"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10D99EA2-D925-41D2-B40F-D2628CE25EE9}" sourceName="Mes">
  <pivotTables>
    <pivotTable tabId="7" name="TablaDinámica2"/>
  </pivotTables>
  <data>
    <tabular pivotCacheId="481022740">
      <items count="1"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70601DD4-3A41-4D03-9679-1E4300B56B32}" sourceName="Mes">
  <pivotTables>
    <pivotTable tabId="8" name="TablaDinámica3"/>
  </pivotTables>
  <data>
    <tabular pivotCacheId="1103079927">
      <items count="2">
        <i x="0" s="1"/>
        <i x="1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3CD0C5B7-661B-4DE2-9902-C2707CD4D5AD}" cache="SegmentaciónDeDatos_Mes1" caption="Mes" style="SlicerStyleOther2" rowHeight="249238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rupo" xr10:uid="{9CA05C40-F3F7-458F-ABB7-A78EE7FC02ED}" cache="SegmentaciónDeDatos_Grupo" caption="Grupo" style="SlicerStyleOther2" rowHeight="249238"/>
  <slicer name="Mes" xr10:uid="{920030D9-32B9-4F42-9738-F9602CD19328}" cache="SegmentaciónDeDatos_Mes" caption="Mes" style="SlicerStyleOther2" rowHeight="249238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F2929-0693-443C-B0D3-53DF74859220}" name="Tabla8" displayName="Tabla8" ref="B5:E6" totalsRowShown="0" headerRowDxfId="26" dataDxfId="25">
  <autoFilter ref="B5:E6" xr:uid="{FE695D60-2DB5-4AD7-83B5-FEA5964240F2}">
    <filterColumn colId="0" hiddenButton="1"/>
    <filterColumn colId="1" hiddenButton="1"/>
    <filterColumn colId="2" hiddenButton="1"/>
    <filterColumn colId="3" hiddenButton="1"/>
  </autoFilter>
  <tableColumns count="4">
    <tableColumn id="1" xr3:uid="{17491E84-3320-4A0A-9052-D9D44F4FB3D7}" name="%OBJETIVO" dataDxfId="24"/>
    <tableColumn id="2" xr3:uid="{3BD2244D-083A-45CF-96B5-E625314B45B4}" name="MEJOR TIEMPO" dataDxfId="23"/>
    <tableColumn id="3" xr3:uid="{CEE0B6FB-127D-40FA-9462-5A446EF6E9E8}" name="100%" dataDxfId="22"/>
    <tableColumn id="4" xr3:uid="{9B998734-ACFB-45FD-AB9F-0B22B5C9C1BC}" name="RESULTADO" dataDxfId="21">
      <calculatedColumnFormula>(Tabla8[[#This Row],[MEJOR TIEMPO]]-(Tabla8[[#This Row],[%OBJETIVO]]*Tabla8[[#This Row],[MEJOR TIEMPO]])/Tabla8[[#This Row],[100%]])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2291D7-A22F-442C-A206-7C047274AE0D}" name="Tabla9" displayName="Tabla9" ref="B13:E14" totalsRowShown="0" headerRowDxfId="20" dataDxfId="19">
  <autoFilter ref="B13:E14" xr:uid="{DCF03F57-5690-469B-8335-46FFAFD12755}">
    <filterColumn colId="0" hiddenButton="1"/>
    <filterColumn colId="1" hiddenButton="1"/>
    <filterColumn colId="2" hiddenButton="1"/>
    <filterColumn colId="3" hiddenButton="1"/>
  </autoFilter>
  <tableColumns count="4">
    <tableColumn id="1" xr3:uid="{8181BAEA-CAD9-4957-9A76-68E254C31FF6}" name="100%" dataDxfId="18"/>
    <tableColumn id="2" xr3:uid="{8E1ADB34-17D6-48CD-BE5F-1BCE24B2BEFF}" name="MEJOR TIEMPO" dataDxfId="17"/>
    <tableColumn id="3" xr3:uid="{556A97BD-3BF0-4804-8679-6469495967E2}" name="%OBJETIVO" dataDxfId="16"/>
    <tableColumn id="4" xr3:uid="{AB745E52-6AFB-492F-9DB5-D38F7CBB7677}" name="RESULTADO" dataDxfId="15">
      <calculatedColumnFormula>(B14*C14)/D14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939B3E-5530-4CE7-AC99-C65642986AA0}" name="Tabla3" displayName="Tabla3" ref="B7:L10" totalsRowShown="0" headerRowDxfId="12" dataDxfId="11">
  <autoFilter ref="B7:L10" xr:uid="{F3939B3E-5530-4CE7-AC99-C65642986A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30A4187-C7A1-491D-A592-B31172A31050}" name="Semana" dataDxfId="10"/>
    <tableColumn id="2" xr3:uid="{06EAF086-E47F-4040-84E1-0586024105A9}" name="Fecha Inicio" dataDxfId="9"/>
    <tableColumn id="3" xr3:uid="{915F2D6A-BFE0-473C-82C1-D29D676050EA}" name="Día" dataDxfId="8">
      <calculatedColumnFormula>TEXT(C8,"dddd")</calculatedColumnFormula>
    </tableColumn>
    <tableColumn id="4" xr3:uid="{5CBDF208-6843-4C02-8613-C296F2DA96B1}" name="Mes" dataDxfId="7">
      <calculatedColumnFormula>TEXT(C8,"mmmm")</calculatedColumnFormula>
    </tableColumn>
    <tableColumn id="5" xr3:uid="{AB487EC1-561B-403A-858D-D492CFD53C26}" name="Año" dataDxfId="6">
      <calculatedColumnFormula>TEXT(C8,"yyyy")</calculatedColumnFormula>
    </tableColumn>
    <tableColumn id="6" xr3:uid="{3F814C93-852B-4278-9696-DFA25B040A12}" name="Objetivo General" dataDxfId="5"/>
    <tableColumn id="7" xr3:uid="{DBFC316C-BB68-4CCF-85A5-91F3050FDE29}" name="Zona Entrenamiento" dataDxfId="4"/>
    <tableColumn id="8" xr3:uid="{36D52BC0-D276-4F67-926B-EC447F6332A7}" name="Volumen (m)" dataDxfId="3"/>
    <tableColumn id="9" xr3:uid="{09260A2B-31F5-46A5-A716-4419CCF086DA}" name="Intensidad" dataDxfId="2"/>
    <tableColumn id="10" xr3:uid="{0EF2A783-2124-472F-853B-79ACE23A56D0}" name="Implementos" dataDxfId="1"/>
    <tableColumn id="11" xr3:uid="{FD64BF11-E860-46ED-846B-8D2D852E5608}" name="Comentario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AB466-7831-4CE5-A8D8-A68C6EBA7A9B}" name="Tabla1" displayName="Tabla1" ref="B1:O12" totalsRowShown="0" headerRowDxfId="42" dataDxfId="41">
  <autoFilter ref="B1:O12" xr:uid="{292AB466-7831-4CE5-A8D8-A68C6EBA7A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BF7FF04-FE50-4529-8FFB-D9F04340AFD3}" name="Grupo" dataDxfId="40"/>
    <tableColumn id="14" xr3:uid="{7C889453-FDE9-47EE-93B2-3C311FB02C24}" name="SEMANA" dataDxfId="39"/>
    <tableColumn id="2" xr3:uid="{92188196-D1CB-46C0-8920-BDCED23F85F9}" name="FECHA" dataDxfId="38"/>
    <tableColumn id="3" xr3:uid="{C3C9AB3B-9C6C-46B1-9AEA-50E40FF8C838}" name="Día" dataDxfId="37">
      <calculatedColumnFormula>TEXT(Tabla1[[#This Row],[FECHA]],"dddd")</calculatedColumnFormula>
    </tableColumn>
    <tableColumn id="12" xr3:uid="{339FA243-397F-4E5D-9D40-72598A2B7241}" name="Mes" dataDxfId="36">
      <calculatedColumnFormula>TEXT(Tabla1[[#This Row],[FECHA]],"mmmm")</calculatedColumnFormula>
    </tableColumn>
    <tableColumn id="15" xr3:uid="{6F01BD77-D0B4-4006-B7EC-F5443494F9C9}" name="Zona Entrenamiento" dataDxfId="35"/>
    <tableColumn id="4" xr3:uid="{B121F7BC-4D4E-424F-9593-B91A46EFF1BE}" name="Objetivo" dataDxfId="34"/>
    <tableColumn id="5" xr3:uid="{34210AB3-F6D3-4C58-94BD-95A8EC7E660A}" name="Ejercicios" dataDxfId="33"/>
    <tableColumn id="6" xr3:uid="{A9C1D24E-F889-4453-B7D0-2767D32BF135}" name="Series" dataDxfId="32"/>
    <tableColumn id="7" xr3:uid="{AF1CD74A-9B37-408E-8C3A-8360E8853191}" name="Metros" dataDxfId="31"/>
    <tableColumn id="8" xr3:uid="{81ACED60-0F27-4034-AA87-99A6E359D9D6}" name="Volumen Total (m)" dataDxfId="30">
      <calculatedColumnFormula>J2*K2</calculatedColumnFormula>
    </tableColumn>
    <tableColumn id="10" xr3:uid="{CA51B971-56DB-4C18-B68F-A9E9550BD605}" name="Tiempo Ejec." dataDxfId="29"/>
    <tableColumn id="11" xr3:uid="{0D701609-36C7-4A85-82C1-B7C44B44AC69}" name="Total Tiempo" dataDxfId="28">
      <calculatedColumnFormula>Tabla1[[#This Row],[Series]]*Tabla1[[#This Row],[Tiempo Ejec.]]</calculatedColumnFormula>
    </tableColumn>
    <tableColumn id="9" xr3:uid="{8758EAFF-99DC-47F0-B604-5F2F32D2A7F1}" name="Intensidad" dataDxfId="2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3C71-B5EC-4215-B388-1054968CE27A}">
  <dimension ref="A1:J14"/>
  <sheetViews>
    <sheetView workbookViewId="0">
      <selection activeCell="G14" sqref="G14"/>
    </sheetView>
  </sheetViews>
  <sheetFormatPr baseColWidth="10" defaultRowHeight="14.4" x14ac:dyDescent="0.3"/>
  <cols>
    <col min="2" max="2" width="12.44140625" customWidth="1"/>
    <col min="3" max="3" width="15.6640625" customWidth="1"/>
    <col min="4" max="4" width="12.44140625" customWidth="1"/>
    <col min="5" max="5" width="12.77734375" customWidth="1"/>
  </cols>
  <sheetData>
    <row r="1" spans="1:10" ht="18" x14ac:dyDescent="0.35">
      <c r="A1" s="26" t="s">
        <v>54</v>
      </c>
    </row>
    <row r="3" spans="1:10" ht="18" x14ac:dyDescent="0.35">
      <c r="A3" s="27" t="s">
        <v>55</v>
      </c>
    </row>
    <row r="4" spans="1:10" x14ac:dyDescent="0.3">
      <c r="J4" s="28"/>
    </row>
    <row r="5" spans="1:10" x14ac:dyDescent="0.3">
      <c r="B5" s="4" t="s">
        <v>56</v>
      </c>
      <c r="C5" s="4" t="s">
        <v>57</v>
      </c>
      <c r="D5" s="29" t="s">
        <v>58</v>
      </c>
      <c r="E5" s="4" t="s">
        <v>59</v>
      </c>
      <c r="F5" s="30"/>
      <c r="G5" s="28"/>
      <c r="H5" s="30"/>
      <c r="I5" s="28"/>
      <c r="J5" s="28"/>
    </row>
    <row r="6" spans="1:10" x14ac:dyDescent="0.3">
      <c r="B6" s="29">
        <v>0.05</v>
      </c>
      <c r="C6" s="31">
        <v>3.2407407407407406E-4</v>
      </c>
      <c r="D6" s="29">
        <v>1</v>
      </c>
      <c r="E6" s="31">
        <f>(Tabla8[[#This Row],[MEJOR TIEMPO]]-(Tabla8[[#This Row],[%OBJETIVO]]*Tabla8[[#This Row],[MEJOR TIEMPO]])/Tabla8[[#This Row],[100%]])</f>
        <v>3.0787037037037035E-4</v>
      </c>
      <c r="F6" s="30"/>
      <c r="G6" s="28"/>
      <c r="H6" s="30"/>
      <c r="I6" s="28"/>
      <c r="J6" s="28"/>
    </row>
    <row r="7" spans="1:10" x14ac:dyDescent="0.3">
      <c r="F7" s="30"/>
      <c r="G7" s="28"/>
      <c r="H7" s="30"/>
      <c r="I7" s="28"/>
      <c r="J7" s="28"/>
    </row>
    <row r="9" spans="1:10" ht="18" x14ac:dyDescent="0.35">
      <c r="A9" s="26" t="s">
        <v>60</v>
      </c>
    </row>
    <row r="11" spans="1:10" ht="18" x14ac:dyDescent="0.35">
      <c r="A11" s="27" t="s">
        <v>61</v>
      </c>
    </row>
    <row r="13" spans="1:10" x14ac:dyDescent="0.3">
      <c r="B13" s="32" t="s">
        <v>58</v>
      </c>
      <c r="C13" s="9" t="s">
        <v>57</v>
      </c>
      <c r="D13" s="9" t="s">
        <v>56</v>
      </c>
      <c r="E13" s="9" t="s">
        <v>59</v>
      </c>
    </row>
    <row r="14" spans="1:10" x14ac:dyDescent="0.3">
      <c r="B14" s="32">
        <v>1</v>
      </c>
      <c r="C14" s="31">
        <v>3.2407407407407406E-4</v>
      </c>
      <c r="D14" s="32">
        <v>0.9</v>
      </c>
      <c r="E14" s="31">
        <f>(B14*C14)/D14</f>
        <v>3.6008230452674894E-4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F853-F712-42DC-B3B3-4507D84E1CA1}">
  <dimension ref="B1:N21"/>
  <sheetViews>
    <sheetView showGridLines="0" workbookViewId="0">
      <pane ySplit="1" topLeftCell="A2" activePane="bottomLeft" state="frozen"/>
      <selection activeCell="G11" sqref="G11"/>
      <selection pane="bottomLeft" activeCell="D5" sqref="D5"/>
    </sheetView>
  </sheetViews>
  <sheetFormatPr baseColWidth="10" defaultRowHeight="14.4" x14ac:dyDescent="0.3"/>
  <cols>
    <col min="2" max="12" width="15.6640625" customWidth="1"/>
  </cols>
  <sheetData>
    <row r="1" spans="2:14" ht="21" x14ac:dyDescent="0.4">
      <c r="B1" s="51" t="s">
        <v>71</v>
      </c>
      <c r="C1" s="51"/>
      <c r="D1" s="51"/>
      <c r="E1" s="51"/>
      <c r="F1" s="51"/>
      <c r="G1" s="51"/>
      <c r="H1" s="51"/>
      <c r="I1" s="51"/>
      <c r="J1" s="51"/>
      <c r="K1" s="51"/>
      <c r="L1" s="51"/>
    </row>
    <row r="3" spans="2:14" ht="18" x14ac:dyDescent="0.35">
      <c r="B3" s="33" t="s">
        <v>62</v>
      </c>
      <c r="C3" s="27"/>
      <c r="D3" s="52" t="s">
        <v>63</v>
      </c>
      <c r="E3" s="52"/>
      <c r="F3" s="52"/>
      <c r="G3" s="52"/>
      <c r="H3" s="52"/>
      <c r="I3" s="52"/>
      <c r="J3" s="52"/>
      <c r="K3" s="52"/>
      <c r="L3" s="52"/>
    </row>
    <row r="4" spans="2:14" ht="18" x14ac:dyDescent="0.35">
      <c r="B4" s="33" t="s">
        <v>64</v>
      </c>
      <c r="C4" s="34" t="s">
        <v>65</v>
      </c>
      <c r="D4" s="35">
        <v>0.6</v>
      </c>
      <c r="E4" s="35">
        <v>0.65</v>
      </c>
      <c r="F4" s="35">
        <v>0.70000000000000007</v>
      </c>
      <c r="G4" s="35">
        <v>0.75000000000000011</v>
      </c>
      <c r="H4" s="35">
        <v>0.80000000000000016</v>
      </c>
      <c r="I4" s="35">
        <v>0.8500000000000002</v>
      </c>
      <c r="J4" s="35">
        <v>0.90000000000000024</v>
      </c>
      <c r="K4" s="35">
        <v>0.95000000000000029</v>
      </c>
      <c r="L4" s="35">
        <v>1.0000000000000002</v>
      </c>
    </row>
    <row r="5" spans="2:14" ht="18" x14ac:dyDescent="0.35">
      <c r="B5" s="36" t="s">
        <v>66</v>
      </c>
      <c r="C5" s="37">
        <v>3.2407407407407406E-4</v>
      </c>
      <c r="D5" s="38">
        <f t="shared" ref="D5:K5" si="0">($L$4*$C$5)/D4</f>
        <v>5.4012345679012351E-4</v>
      </c>
      <c r="E5" s="38">
        <f t="shared" si="0"/>
        <v>4.9857549857549861E-4</v>
      </c>
      <c r="F5" s="38">
        <f t="shared" si="0"/>
        <v>4.6296296296296298E-4</v>
      </c>
      <c r="G5" s="38">
        <f t="shared" si="0"/>
        <v>4.3209876543209873E-4</v>
      </c>
      <c r="H5" s="38">
        <f t="shared" si="0"/>
        <v>4.0509259259259258E-4</v>
      </c>
      <c r="I5" s="38">
        <f t="shared" si="0"/>
        <v>3.8126361655773419E-4</v>
      </c>
      <c r="J5" s="38">
        <f t="shared" si="0"/>
        <v>3.6008230452674894E-4</v>
      </c>
      <c r="K5" s="38">
        <f t="shared" si="0"/>
        <v>3.41130604288499E-4</v>
      </c>
      <c r="L5" s="38">
        <f>($L$4*$C$5)/L4</f>
        <v>3.2407407407407406E-4</v>
      </c>
      <c r="N5" s="39"/>
    </row>
    <row r="6" spans="2:14" ht="18" x14ac:dyDescent="0.35">
      <c r="B6" s="36" t="s">
        <v>67</v>
      </c>
      <c r="C6" s="40"/>
      <c r="D6" s="38">
        <f t="shared" ref="D6:K6" si="1">D5-$C$5</f>
        <v>2.1604938271604945E-4</v>
      </c>
      <c r="E6" s="38">
        <f t="shared" si="1"/>
        <v>1.7450142450142455E-4</v>
      </c>
      <c r="F6" s="38">
        <f t="shared" si="1"/>
        <v>1.3888888888888892E-4</v>
      </c>
      <c r="G6" s="38">
        <f t="shared" si="1"/>
        <v>1.0802469135802467E-4</v>
      </c>
      <c r="H6" s="38">
        <f t="shared" si="1"/>
        <v>8.1018518518518516E-5</v>
      </c>
      <c r="I6" s="38">
        <f t="shared" si="1"/>
        <v>5.7189542483660123E-5</v>
      </c>
      <c r="J6" s="38">
        <f t="shared" si="1"/>
        <v>3.6008230452674872E-5</v>
      </c>
      <c r="K6" s="38">
        <f t="shared" si="1"/>
        <v>1.7056530214424931E-5</v>
      </c>
      <c r="L6" s="38">
        <f>L5-$C$5</f>
        <v>0</v>
      </c>
      <c r="N6" s="39"/>
    </row>
    <row r="7" spans="2:14" ht="18" x14ac:dyDescent="0.35">
      <c r="B7" s="27"/>
      <c r="C7" s="27"/>
      <c r="D7" s="41"/>
      <c r="E7" s="41"/>
      <c r="F7" s="41"/>
      <c r="G7" s="41"/>
      <c r="H7" s="41"/>
      <c r="I7" s="41"/>
      <c r="J7" s="41"/>
      <c r="K7" s="41"/>
      <c r="L7" s="41"/>
      <c r="N7" s="39"/>
    </row>
    <row r="8" spans="2:14" ht="18" x14ac:dyDescent="0.35">
      <c r="B8" s="33" t="s">
        <v>62</v>
      </c>
      <c r="C8" s="27"/>
      <c r="D8" s="52" t="s">
        <v>63</v>
      </c>
      <c r="E8" s="52"/>
      <c r="F8" s="52"/>
      <c r="G8" s="52"/>
      <c r="H8" s="52"/>
      <c r="I8" s="52"/>
      <c r="J8" s="52"/>
      <c r="K8" s="52"/>
      <c r="L8" s="52"/>
    </row>
    <row r="9" spans="2:14" ht="18" x14ac:dyDescent="0.35">
      <c r="B9" s="33" t="s">
        <v>64</v>
      </c>
      <c r="C9" s="34" t="s">
        <v>68</v>
      </c>
      <c r="D9" s="35">
        <v>0.6</v>
      </c>
      <c r="E9" s="35">
        <v>0.65</v>
      </c>
      <c r="F9" s="35">
        <v>0.70000000000000007</v>
      </c>
      <c r="G9" s="35">
        <v>0.75000000000000011</v>
      </c>
      <c r="H9" s="35">
        <v>0.80000000000000016</v>
      </c>
      <c r="I9" s="35">
        <v>0.8500000000000002</v>
      </c>
      <c r="J9" s="35">
        <v>0.90000000000000024</v>
      </c>
      <c r="K9" s="35">
        <v>0.95000000000000029</v>
      </c>
      <c r="L9" s="35">
        <v>1.0000000000000002</v>
      </c>
    </row>
    <row r="10" spans="2:14" ht="18" x14ac:dyDescent="0.35">
      <c r="B10" s="36" t="s">
        <v>66</v>
      </c>
      <c r="C10" s="37">
        <v>7.291666666666667E-4</v>
      </c>
      <c r="D10" s="38">
        <f t="shared" ref="D10:K10" si="2">($L$9*$C$10)/D9</f>
        <v>1.215277777777778E-3</v>
      </c>
      <c r="E10" s="38">
        <f t="shared" si="2"/>
        <v>1.1217948717948719E-3</v>
      </c>
      <c r="F10" s="38">
        <f t="shared" si="2"/>
        <v>1.0416666666666669E-3</v>
      </c>
      <c r="G10" s="38">
        <f t="shared" si="2"/>
        <v>9.722222222222223E-4</v>
      </c>
      <c r="H10" s="38">
        <f t="shared" si="2"/>
        <v>9.1145833333333335E-4</v>
      </c>
      <c r="I10" s="38">
        <f t="shared" si="2"/>
        <v>8.5784313725490195E-4</v>
      </c>
      <c r="J10" s="38">
        <f t="shared" si="2"/>
        <v>8.1018518518518516E-4</v>
      </c>
      <c r="K10" s="38">
        <f t="shared" si="2"/>
        <v>7.675438596491227E-4</v>
      </c>
      <c r="L10" s="38">
        <f>($L$9*$C$10)/L9</f>
        <v>7.291666666666667E-4</v>
      </c>
    </row>
    <row r="11" spans="2:14" ht="18" x14ac:dyDescent="0.35">
      <c r="B11" s="36" t="s">
        <v>67</v>
      </c>
      <c r="C11" s="40"/>
      <c r="D11" s="38">
        <f t="shared" ref="D11:K11" si="3">D10-$C$10</f>
        <v>4.8611111111111131E-4</v>
      </c>
      <c r="E11" s="38">
        <f t="shared" si="3"/>
        <v>3.9262820512820523E-4</v>
      </c>
      <c r="F11" s="38">
        <f t="shared" si="3"/>
        <v>3.1250000000000017E-4</v>
      </c>
      <c r="G11" s="38">
        <f t="shared" si="3"/>
        <v>2.430555555555556E-4</v>
      </c>
      <c r="H11" s="38">
        <f t="shared" si="3"/>
        <v>1.8229166666666665E-4</v>
      </c>
      <c r="I11" s="38">
        <f t="shared" si="3"/>
        <v>1.2867647058823525E-4</v>
      </c>
      <c r="J11" s="38">
        <f t="shared" si="3"/>
        <v>8.1018518518518462E-5</v>
      </c>
      <c r="K11" s="38">
        <f t="shared" si="3"/>
        <v>3.8377192982455999E-5</v>
      </c>
      <c r="L11" s="38">
        <f>L10-$C$10</f>
        <v>0</v>
      </c>
    </row>
    <row r="12" spans="2:14" ht="18" x14ac:dyDescent="0.35">
      <c r="B12" s="27"/>
      <c r="C12" s="27"/>
      <c r="D12" s="41"/>
      <c r="E12" s="41"/>
      <c r="F12" s="41"/>
      <c r="G12" s="41"/>
      <c r="H12" s="41"/>
      <c r="I12" s="41"/>
      <c r="J12" s="41"/>
      <c r="K12" s="41"/>
      <c r="L12" s="41"/>
    </row>
    <row r="13" spans="2:14" ht="18" x14ac:dyDescent="0.35">
      <c r="B13" s="33" t="s">
        <v>62</v>
      </c>
      <c r="C13" s="27"/>
      <c r="D13" s="52" t="s">
        <v>63</v>
      </c>
      <c r="E13" s="52"/>
      <c r="F13" s="52"/>
      <c r="G13" s="52"/>
      <c r="H13" s="52"/>
      <c r="I13" s="52"/>
      <c r="J13" s="52"/>
      <c r="K13" s="52"/>
      <c r="L13" s="52"/>
    </row>
    <row r="14" spans="2:14" ht="18" x14ac:dyDescent="0.35">
      <c r="B14" s="33" t="s">
        <v>64</v>
      </c>
      <c r="C14" s="34" t="s">
        <v>69</v>
      </c>
      <c r="D14" s="35">
        <v>0.6</v>
      </c>
      <c r="E14" s="35">
        <v>0.65</v>
      </c>
      <c r="F14" s="35">
        <v>0.70000000000000007</v>
      </c>
      <c r="G14" s="35">
        <v>0.75000000000000011</v>
      </c>
      <c r="H14" s="35">
        <v>0.80000000000000016</v>
      </c>
      <c r="I14" s="35">
        <v>0.8500000000000002</v>
      </c>
      <c r="J14" s="35">
        <v>0.90000000000000024</v>
      </c>
      <c r="K14" s="35">
        <v>0.95000000000000029</v>
      </c>
      <c r="L14" s="35">
        <v>1.0000000000000002</v>
      </c>
    </row>
    <row r="15" spans="2:14" ht="18" x14ac:dyDescent="0.35">
      <c r="B15" s="36" t="s">
        <v>66</v>
      </c>
      <c r="C15" s="37">
        <v>1.6782407407407406E-3</v>
      </c>
      <c r="D15" s="38">
        <f t="shared" ref="D15:K15" si="4">($L$14*$C$15)/D14</f>
        <v>2.7970679012345686E-3</v>
      </c>
      <c r="E15" s="38">
        <f t="shared" si="4"/>
        <v>2.5819088319088321E-3</v>
      </c>
      <c r="F15" s="38">
        <f t="shared" si="4"/>
        <v>2.3974867724867728E-3</v>
      </c>
      <c r="G15" s="38">
        <f t="shared" si="4"/>
        <v>2.2376543209876544E-3</v>
      </c>
      <c r="H15" s="38">
        <f t="shared" si="4"/>
        <v>2.0978009259259257E-3</v>
      </c>
      <c r="I15" s="38">
        <f t="shared" si="4"/>
        <v>1.9744008714596946E-3</v>
      </c>
      <c r="J15" s="38">
        <f t="shared" si="4"/>
        <v>1.8647119341563784E-3</v>
      </c>
      <c r="K15" s="38">
        <f t="shared" si="4"/>
        <v>1.7665692007797268E-3</v>
      </c>
      <c r="L15" s="38">
        <f>($L$14*$C$15)/L14</f>
        <v>1.6782407407407406E-3</v>
      </c>
    </row>
    <row r="16" spans="2:14" ht="18" x14ac:dyDescent="0.35">
      <c r="B16" s="36" t="s">
        <v>67</v>
      </c>
      <c r="C16" s="40"/>
      <c r="D16" s="38">
        <f t="shared" ref="D16:K16" si="5">D15-$C$15</f>
        <v>1.1188271604938281E-3</v>
      </c>
      <c r="E16" s="38">
        <f t="shared" si="5"/>
        <v>9.0366809116809157E-4</v>
      </c>
      <c r="F16" s="38">
        <f t="shared" si="5"/>
        <v>7.1924603174603223E-4</v>
      </c>
      <c r="G16" s="38">
        <f t="shared" si="5"/>
        <v>5.5941358024691381E-4</v>
      </c>
      <c r="H16" s="38">
        <f t="shared" si="5"/>
        <v>4.1956018518518514E-4</v>
      </c>
      <c r="I16" s="38">
        <f t="shared" si="5"/>
        <v>2.9616013071895406E-4</v>
      </c>
      <c r="J16" s="38">
        <f t="shared" si="5"/>
        <v>1.8647119341563779E-4</v>
      </c>
      <c r="K16" s="38">
        <f t="shared" si="5"/>
        <v>8.832846003898622E-5</v>
      </c>
      <c r="L16" s="38">
        <f>L15-$C$15</f>
        <v>0</v>
      </c>
    </row>
    <row r="17" spans="2:12" ht="18" x14ac:dyDescent="0.35">
      <c r="B17" s="27"/>
      <c r="C17" s="27"/>
      <c r="D17" s="41"/>
      <c r="E17" s="41"/>
      <c r="F17" s="41"/>
      <c r="G17" s="41"/>
      <c r="H17" s="41"/>
      <c r="I17" s="41"/>
      <c r="J17" s="41"/>
      <c r="K17" s="41"/>
      <c r="L17" s="41"/>
    </row>
    <row r="18" spans="2:12" ht="18" x14ac:dyDescent="0.35">
      <c r="B18" s="33" t="s">
        <v>62</v>
      </c>
      <c r="C18" s="27"/>
      <c r="D18" s="52" t="s">
        <v>63</v>
      </c>
      <c r="E18" s="52"/>
      <c r="F18" s="52"/>
      <c r="G18" s="52"/>
      <c r="H18" s="52"/>
      <c r="I18" s="52"/>
      <c r="J18" s="52"/>
      <c r="K18" s="52"/>
      <c r="L18" s="52"/>
    </row>
    <row r="19" spans="2:12" ht="18" x14ac:dyDescent="0.35">
      <c r="B19" s="33" t="s">
        <v>64</v>
      </c>
      <c r="C19" s="34" t="s">
        <v>70</v>
      </c>
      <c r="D19" s="35">
        <v>0.6</v>
      </c>
      <c r="E19" s="35">
        <v>0.65</v>
      </c>
      <c r="F19" s="35">
        <v>0.70000000000000007</v>
      </c>
      <c r="G19" s="35">
        <v>0.75000000000000011</v>
      </c>
      <c r="H19" s="35">
        <v>0.80000000000000016</v>
      </c>
      <c r="I19" s="35">
        <v>0.8500000000000002</v>
      </c>
      <c r="J19" s="35">
        <v>0.90000000000000024</v>
      </c>
      <c r="K19" s="35">
        <v>0.95000000000000029</v>
      </c>
      <c r="L19" s="35">
        <v>1.0000000000000002</v>
      </c>
    </row>
    <row r="20" spans="2:12" ht="18" x14ac:dyDescent="0.35">
      <c r="B20" s="36" t="s">
        <v>66</v>
      </c>
      <c r="C20" s="37">
        <v>3.5648148148148154E-3</v>
      </c>
      <c r="D20" s="38">
        <f t="shared" ref="D20:K20" si="6">($L$19*$C$20)/D19</f>
        <v>5.9413580246913608E-3</v>
      </c>
      <c r="E20" s="38">
        <f t="shared" si="6"/>
        <v>5.4843304843304862E-3</v>
      </c>
      <c r="F20" s="38">
        <f t="shared" si="6"/>
        <v>5.0925925925925939E-3</v>
      </c>
      <c r="G20" s="38">
        <f t="shared" si="6"/>
        <v>4.7530864197530874E-3</v>
      </c>
      <c r="H20" s="38">
        <f t="shared" si="6"/>
        <v>4.4560185185185197E-3</v>
      </c>
      <c r="I20" s="38">
        <f t="shared" si="6"/>
        <v>4.1938997821350773E-3</v>
      </c>
      <c r="J20" s="38">
        <f t="shared" si="6"/>
        <v>3.9609053497942394E-3</v>
      </c>
      <c r="K20" s="38">
        <f t="shared" si="6"/>
        <v>3.7524366471734898E-3</v>
      </c>
      <c r="L20" s="38">
        <f>($L$19*$C$20)/L19</f>
        <v>3.5648148148148154E-3</v>
      </c>
    </row>
    <row r="21" spans="2:12" ht="18" x14ac:dyDescent="0.35">
      <c r="B21" s="36" t="s">
        <v>67</v>
      </c>
      <c r="C21" s="40"/>
      <c r="D21" s="38">
        <f t="shared" ref="D21:K21" si="7">D20-$C$20</f>
        <v>2.3765432098765455E-3</v>
      </c>
      <c r="E21" s="38">
        <f t="shared" si="7"/>
        <v>1.9195156695156709E-3</v>
      </c>
      <c r="F21" s="38">
        <f t="shared" si="7"/>
        <v>1.5277777777777785E-3</v>
      </c>
      <c r="G21" s="38">
        <f t="shared" si="7"/>
        <v>1.1882716049382721E-3</v>
      </c>
      <c r="H21" s="38">
        <f t="shared" si="7"/>
        <v>8.9120370370370438E-4</v>
      </c>
      <c r="I21" s="38">
        <f t="shared" si="7"/>
        <v>6.2908496732026189E-4</v>
      </c>
      <c r="J21" s="38">
        <f t="shared" si="7"/>
        <v>3.9609053497942403E-4</v>
      </c>
      <c r="K21" s="38">
        <f t="shared" si="7"/>
        <v>1.876218323586744E-4</v>
      </c>
      <c r="L21" s="38">
        <f>L20-$C$20</f>
        <v>0</v>
      </c>
    </row>
  </sheetData>
  <mergeCells count="5">
    <mergeCell ref="B1:L1"/>
    <mergeCell ref="D3:L3"/>
    <mergeCell ref="D8:L8"/>
    <mergeCell ref="D13:L13"/>
    <mergeCell ref="D18:L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298C-79D9-473E-BB99-AD0009C60C82}">
  <dimension ref="B1:D12"/>
  <sheetViews>
    <sheetView showGridLines="0" workbookViewId="0">
      <selection activeCell="F7" sqref="F7"/>
    </sheetView>
  </sheetViews>
  <sheetFormatPr baseColWidth="10" defaultRowHeight="14.4" x14ac:dyDescent="0.3"/>
  <cols>
    <col min="1" max="1" width="15.5546875" bestFit="1" customWidth="1"/>
    <col min="2" max="2" width="12.44140625" style="24" bestFit="1" customWidth="1"/>
    <col min="3" max="3" width="24" bestFit="1" customWidth="1"/>
    <col min="4" max="4" width="12.77734375" bestFit="1" customWidth="1"/>
  </cols>
  <sheetData>
    <row r="1" spans="3:4" ht="169.8" customHeight="1" x14ac:dyDescent="0.3"/>
    <row r="2" spans="3:4" x14ac:dyDescent="0.3">
      <c r="C2" s="12" t="s">
        <v>35</v>
      </c>
      <c r="D2" s="25" t="s">
        <v>53</v>
      </c>
    </row>
    <row r="3" spans="3:4" x14ac:dyDescent="0.3">
      <c r="C3" s="13" t="s">
        <v>36</v>
      </c>
      <c r="D3" s="25"/>
    </row>
    <row r="4" spans="3:4" x14ac:dyDescent="0.3">
      <c r="C4" s="16" t="s">
        <v>45</v>
      </c>
      <c r="D4" s="25"/>
    </row>
    <row r="5" spans="3:4" x14ac:dyDescent="0.3">
      <c r="C5" s="14" t="s">
        <v>4</v>
      </c>
      <c r="D5" s="25"/>
    </row>
    <row r="6" spans="3:4" x14ac:dyDescent="0.3">
      <c r="C6" s="15" t="s">
        <v>47</v>
      </c>
      <c r="D6" s="25">
        <v>60000</v>
      </c>
    </row>
    <row r="7" spans="3:4" x14ac:dyDescent="0.3">
      <c r="C7" s="16" t="s">
        <v>22</v>
      </c>
      <c r="D7" s="25"/>
    </row>
    <row r="8" spans="3:4" x14ac:dyDescent="0.3">
      <c r="C8" s="14" t="s">
        <v>4</v>
      </c>
      <c r="D8" s="25"/>
    </row>
    <row r="9" spans="3:4" x14ac:dyDescent="0.3">
      <c r="C9" s="15" t="s">
        <v>47</v>
      </c>
      <c r="D9" s="25">
        <v>80000</v>
      </c>
    </row>
    <row r="10" spans="3:4" x14ac:dyDescent="0.3">
      <c r="C10" s="16" t="s">
        <v>23</v>
      </c>
      <c r="D10" s="25"/>
    </row>
    <row r="11" spans="3:4" x14ac:dyDescent="0.3">
      <c r="C11" s="14" t="s">
        <v>75</v>
      </c>
      <c r="D11" s="25"/>
    </row>
    <row r="12" spans="3:4" x14ac:dyDescent="0.3">
      <c r="C12" s="15" t="s">
        <v>47</v>
      </c>
      <c r="D12" s="25">
        <v>50000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E570-F463-4116-A795-518BE47BE243}">
  <dimension ref="A1:L14"/>
  <sheetViews>
    <sheetView workbookViewId="0">
      <selection activeCell="G12" sqref="G12"/>
    </sheetView>
  </sheetViews>
  <sheetFormatPr baseColWidth="10" defaultRowHeight="14.4" x14ac:dyDescent="0.3"/>
  <cols>
    <col min="1" max="1" width="23.21875" bestFit="1" customWidth="1"/>
    <col min="2" max="2" width="9.88671875" bestFit="1" customWidth="1"/>
    <col min="3" max="3" width="12.109375" customWidth="1"/>
    <col min="4" max="5" width="8.5546875" bestFit="1" customWidth="1"/>
    <col min="6" max="6" width="5.88671875" customWidth="1"/>
    <col min="7" max="7" width="16.44140625" customWidth="1"/>
    <col min="8" max="8" width="19.21875" customWidth="1"/>
    <col min="9" max="9" width="11.44140625" bestFit="1" customWidth="1"/>
    <col min="10" max="10" width="11.21875" customWidth="1"/>
    <col min="11" max="11" width="14" customWidth="1"/>
    <col min="12" max="12" width="19.21875" customWidth="1"/>
  </cols>
  <sheetData>
    <row r="1" spans="1:12" x14ac:dyDescent="0.3">
      <c r="A1" s="19" t="s">
        <v>38</v>
      </c>
      <c r="G1" s="19" t="s">
        <v>43</v>
      </c>
    </row>
    <row r="2" spans="1:12" x14ac:dyDescent="0.3">
      <c r="A2" s="19" t="s">
        <v>39</v>
      </c>
      <c r="G2" s="19" t="s">
        <v>44</v>
      </c>
    </row>
    <row r="3" spans="1:12" x14ac:dyDescent="0.3">
      <c r="A3" s="19" t="s">
        <v>40</v>
      </c>
    </row>
    <row r="4" spans="1:12" x14ac:dyDescent="0.3">
      <c r="A4" s="19" t="s">
        <v>41</v>
      </c>
    </row>
    <row r="5" spans="1:12" x14ac:dyDescent="0.3">
      <c r="A5" s="19" t="s">
        <v>42</v>
      </c>
    </row>
    <row r="7" spans="1:12" x14ac:dyDescent="0.3">
      <c r="B7" s="18" t="s">
        <v>29</v>
      </c>
      <c r="C7" s="18" t="s">
        <v>46</v>
      </c>
      <c r="D7" s="18" t="s">
        <v>7</v>
      </c>
      <c r="E7" s="18" t="s">
        <v>17</v>
      </c>
      <c r="F7" s="18" t="s">
        <v>30</v>
      </c>
      <c r="G7" s="18" t="s">
        <v>31</v>
      </c>
      <c r="H7" s="18" t="s">
        <v>49</v>
      </c>
      <c r="I7" s="18" t="s">
        <v>32</v>
      </c>
      <c r="J7" s="18" t="s">
        <v>2</v>
      </c>
      <c r="K7" s="18" t="s">
        <v>48</v>
      </c>
      <c r="L7" s="18" t="s">
        <v>33</v>
      </c>
    </row>
    <row r="8" spans="1:12" ht="16.8" x14ac:dyDescent="0.3">
      <c r="B8" s="4" t="s">
        <v>45</v>
      </c>
      <c r="C8" s="5">
        <v>45999</v>
      </c>
      <c r="D8" s="4" t="str">
        <f>TEXT(C8,"dddd")</f>
        <v>lunes</v>
      </c>
      <c r="E8" s="4" t="str">
        <f>TEXT(C8,"mmmm")</f>
        <v>diciembre</v>
      </c>
      <c r="F8" s="4" t="str">
        <f>TEXT(C8,"yyyy")</f>
        <v>2025</v>
      </c>
      <c r="G8" s="1" t="s">
        <v>4</v>
      </c>
      <c r="H8" s="4" t="s">
        <v>47</v>
      </c>
      <c r="I8" s="42">
        <v>60000</v>
      </c>
      <c r="J8" s="4" t="s">
        <v>50</v>
      </c>
      <c r="K8" s="10" t="s">
        <v>51</v>
      </c>
      <c r="L8" s="10" t="s">
        <v>52</v>
      </c>
    </row>
    <row r="9" spans="1:12" ht="28.8" x14ac:dyDescent="0.3">
      <c r="B9" s="4" t="s">
        <v>22</v>
      </c>
      <c r="C9" s="5">
        <v>46006</v>
      </c>
      <c r="D9" s="4" t="str">
        <f>TEXT(C9,"dddd")</f>
        <v>lunes</v>
      </c>
      <c r="E9" s="4" t="str">
        <f>TEXT(C9,"mmmm")</f>
        <v>diciembre</v>
      </c>
      <c r="F9" s="4" t="str">
        <f>TEXT(C9,"yyyy")</f>
        <v>2025</v>
      </c>
      <c r="G9" s="1" t="s">
        <v>4</v>
      </c>
      <c r="H9" s="4" t="s">
        <v>47</v>
      </c>
      <c r="I9" s="42">
        <v>80000</v>
      </c>
      <c r="J9" s="4" t="s">
        <v>72</v>
      </c>
      <c r="K9" s="43" t="s">
        <v>73</v>
      </c>
      <c r="L9" s="10" t="s">
        <v>74</v>
      </c>
    </row>
    <row r="10" spans="1:12" ht="43.2" x14ac:dyDescent="0.3">
      <c r="B10" s="4" t="s">
        <v>23</v>
      </c>
      <c r="C10" s="5">
        <v>46013</v>
      </c>
      <c r="D10" s="4" t="str">
        <f>TEXT(C10,"dddd")</f>
        <v>lunes</v>
      </c>
      <c r="E10" s="4" t="str">
        <f>TEXT(C10,"mmmm")</f>
        <v>diciembre</v>
      </c>
      <c r="F10" s="4" t="str">
        <f>TEXT(C10,"yyyy")</f>
        <v>2025</v>
      </c>
      <c r="G10" s="1" t="s">
        <v>75</v>
      </c>
      <c r="H10" s="4" t="s">
        <v>47</v>
      </c>
      <c r="I10" s="42">
        <v>50000</v>
      </c>
      <c r="J10" s="4" t="s">
        <v>50</v>
      </c>
      <c r="K10" s="43" t="s">
        <v>76</v>
      </c>
      <c r="L10" s="10" t="s">
        <v>52</v>
      </c>
    </row>
    <row r="11" spans="1:12" x14ac:dyDescent="0.3">
      <c r="C11" t="s">
        <v>34</v>
      </c>
      <c r="E11" t="s">
        <v>34</v>
      </c>
    </row>
    <row r="12" spans="1:12" x14ac:dyDescent="0.3">
      <c r="C12" t="s">
        <v>34</v>
      </c>
      <c r="E12" t="s">
        <v>34</v>
      </c>
    </row>
    <row r="13" spans="1:12" x14ac:dyDescent="0.3">
      <c r="C13" t="s">
        <v>34</v>
      </c>
      <c r="E13" t="s">
        <v>34</v>
      </c>
    </row>
    <row r="14" spans="1:12" x14ac:dyDescent="0.3">
      <c r="C14" t="s">
        <v>34</v>
      </c>
      <c r="E14" t="s">
        <v>34</v>
      </c>
    </row>
  </sheetData>
  <phoneticPr fontId="5" type="noConversion"/>
  <dataValidations count="1">
    <dataValidation type="list" allowBlank="1" showInputMessage="1" showErrorMessage="1" sqref="B8:B10" xr:uid="{17CAC754-902B-4647-AA3E-5A918E4B8ECA}">
      <formula1>"SEMANA 1,SEMANA 2,SEMANA 3, SEMANA 4,SEMANA 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325F-6DB6-411B-950D-174F2362C443}">
  <dimension ref="C1:D13"/>
  <sheetViews>
    <sheetView showGridLines="0" workbookViewId="0">
      <selection activeCell="L1" sqref="L1"/>
    </sheetView>
  </sheetViews>
  <sheetFormatPr baseColWidth="10" defaultRowHeight="14.4" x14ac:dyDescent="0.3"/>
  <cols>
    <col min="1" max="1" width="16.109375" bestFit="1" customWidth="1"/>
    <col min="2" max="2" width="10.77734375" customWidth="1"/>
    <col min="3" max="4" width="16.5546875" bestFit="1" customWidth="1"/>
    <col min="5" max="5" width="9.33203125" bestFit="1" customWidth="1"/>
    <col min="6" max="8" width="11.109375" bestFit="1" customWidth="1"/>
  </cols>
  <sheetData>
    <row r="1" spans="3:4" ht="271.95" customHeight="1" x14ac:dyDescent="0.3"/>
    <row r="2" spans="3:4" x14ac:dyDescent="0.3">
      <c r="C2" s="12" t="s">
        <v>35</v>
      </c>
      <c r="D2" t="s">
        <v>37</v>
      </c>
    </row>
    <row r="3" spans="3:4" x14ac:dyDescent="0.3">
      <c r="C3" s="13" t="s">
        <v>36</v>
      </c>
      <c r="D3" s="45"/>
    </row>
    <row r="4" spans="3:4" x14ac:dyDescent="0.3">
      <c r="C4" s="16" t="s">
        <v>18</v>
      </c>
      <c r="D4" s="45"/>
    </row>
    <row r="5" spans="3:4" x14ac:dyDescent="0.3">
      <c r="C5" s="14" t="s">
        <v>22</v>
      </c>
      <c r="D5" s="45"/>
    </row>
    <row r="6" spans="3:4" x14ac:dyDescent="0.3">
      <c r="C6" s="17">
        <v>45999</v>
      </c>
      <c r="D6" s="45">
        <v>3600</v>
      </c>
    </row>
    <row r="7" spans="3:4" x14ac:dyDescent="0.3">
      <c r="C7" s="17">
        <v>46000</v>
      </c>
      <c r="D7" s="45">
        <v>3200</v>
      </c>
    </row>
    <row r="8" spans="3:4" x14ac:dyDescent="0.3">
      <c r="C8" s="14" t="s">
        <v>23</v>
      </c>
      <c r="D8" s="45"/>
    </row>
    <row r="9" spans="3:4" x14ac:dyDescent="0.3">
      <c r="C9" s="17">
        <v>46001</v>
      </c>
      <c r="D9" s="45">
        <v>1200</v>
      </c>
    </row>
    <row r="10" spans="3:4" x14ac:dyDescent="0.3">
      <c r="C10" s="14" t="s">
        <v>24</v>
      </c>
      <c r="D10" s="45"/>
    </row>
    <row r="11" spans="3:4" x14ac:dyDescent="0.3">
      <c r="C11" s="17">
        <v>46002</v>
      </c>
      <c r="D11" s="45">
        <v>120</v>
      </c>
    </row>
    <row r="12" spans="3:4" x14ac:dyDescent="0.3">
      <c r="C12" s="14" t="s">
        <v>25</v>
      </c>
      <c r="D12" s="45"/>
    </row>
    <row r="13" spans="3:4" x14ac:dyDescent="0.3">
      <c r="C13" s="17">
        <v>46003</v>
      </c>
      <c r="D13" s="45">
        <v>300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81F56-D7E1-4599-B84C-7A1B73D4327F}">
  <dimension ref="A1:O12"/>
  <sheetViews>
    <sheetView showGridLines="0" workbookViewId="0">
      <selection activeCell="A2" sqref="A2"/>
    </sheetView>
  </sheetViews>
  <sheetFormatPr baseColWidth="10" defaultRowHeight="14.4" x14ac:dyDescent="0.3"/>
  <cols>
    <col min="1" max="1" width="17.44140625" customWidth="1"/>
    <col min="2" max="2" width="10.44140625" bestFit="1" customWidth="1"/>
    <col min="3" max="3" width="9.33203125" bestFit="1" customWidth="1"/>
    <col min="4" max="4" width="10.33203125" bestFit="1" customWidth="1"/>
    <col min="5" max="5" width="8.77734375" bestFit="1" customWidth="1"/>
    <col min="6" max="6" width="9.6640625" bestFit="1" customWidth="1"/>
    <col min="7" max="7" width="14.88671875" bestFit="1" customWidth="1"/>
    <col min="8" max="8" width="16.33203125" customWidth="1"/>
    <col min="9" max="9" width="18.21875" bestFit="1" customWidth="1"/>
    <col min="10" max="10" width="6.5546875" bestFit="1" customWidth="1"/>
    <col min="11" max="11" width="7.6640625" bestFit="1" customWidth="1"/>
    <col min="12" max="12" width="16.33203125" customWidth="1"/>
    <col min="13" max="13" width="13" bestFit="1" customWidth="1"/>
    <col min="14" max="14" width="13.5546875" bestFit="1" customWidth="1"/>
    <col min="15" max="15" width="16.33203125" customWidth="1"/>
  </cols>
  <sheetData>
    <row r="1" spans="1:15" ht="33.6" x14ac:dyDescent="0.3">
      <c r="A1" s="50" t="s">
        <v>26</v>
      </c>
      <c r="B1" s="3" t="s">
        <v>8</v>
      </c>
      <c r="C1" s="3" t="s">
        <v>21</v>
      </c>
      <c r="D1" s="3" t="s">
        <v>6</v>
      </c>
      <c r="E1" s="3" t="s">
        <v>7</v>
      </c>
      <c r="F1" s="3" t="s">
        <v>17</v>
      </c>
      <c r="G1" s="20" t="s">
        <v>49</v>
      </c>
      <c r="H1" s="3" t="s">
        <v>0</v>
      </c>
      <c r="I1" s="3" t="s">
        <v>1</v>
      </c>
      <c r="J1" s="3" t="s">
        <v>9</v>
      </c>
      <c r="K1" s="3" t="s">
        <v>10</v>
      </c>
      <c r="L1" s="3" t="s">
        <v>11</v>
      </c>
      <c r="M1" s="3" t="s">
        <v>15</v>
      </c>
      <c r="N1" s="3" t="s">
        <v>16</v>
      </c>
      <c r="O1" s="3" t="s">
        <v>2</v>
      </c>
    </row>
    <row r="2" spans="1:15" ht="16.8" x14ac:dyDescent="0.3">
      <c r="B2" s="4" t="s">
        <v>18</v>
      </c>
      <c r="C2" s="4" t="s">
        <v>22</v>
      </c>
      <c r="D2" s="5">
        <v>45999</v>
      </c>
      <c r="E2" s="21" t="str">
        <f>TEXT(Tabla1[[#This Row],[FECHA]],"dddd")</f>
        <v>lunes</v>
      </c>
      <c r="F2" s="21" t="str">
        <f>TEXT(Tabla1[[#This Row],[FECHA]],"mmmm")</f>
        <v>diciembre</v>
      </c>
      <c r="G2" s="21" t="s">
        <v>77</v>
      </c>
      <c r="H2" s="22" t="s">
        <v>3</v>
      </c>
      <c r="I2" s="22" t="s">
        <v>12</v>
      </c>
      <c r="J2" s="21">
        <v>8</v>
      </c>
      <c r="K2" s="21">
        <v>50</v>
      </c>
      <c r="L2" s="44">
        <f>J2*K2</f>
        <v>400</v>
      </c>
      <c r="M2" s="23">
        <v>6.9444444444444447E-4</v>
      </c>
      <c r="N2" s="23">
        <f>Tabla1[[#This Row],[Series]]*Tabla1[[#This Row],[Tiempo Ejec.]]</f>
        <v>5.5555555555555558E-3</v>
      </c>
      <c r="O2" s="22"/>
    </row>
    <row r="3" spans="1:15" ht="16.8" x14ac:dyDescent="0.3">
      <c r="B3" s="4" t="s">
        <v>18</v>
      </c>
      <c r="C3" s="4" t="s">
        <v>22</v>
      </c>
      <c r="D3" s="5">
        <v>45999</v>
      </c>
      <c r="E3" s="21" t="str">
        <f>TEXT(Tabla1[[#This Row],[FECHA]],"dddd")</f>
        <v>lunes</v>
      </c>
      <c r="F3" s="21" t="str">
        <f>TEXT(Tabla1[[#This Row],[FECHA]],"mmmm")</f>
        <v>diciembre</v>
      </c>
      <c r="G3" s="21" t="s">
        <v>77</v>
      </c>
      <c r="H3" s="22" t="s">
        <v>3</v>
      </c>
      <c r="I3" s="22" t="s">
        <v>12</v>
      </c>
      <c r="J3" s="21">
        <v>6</v>
      </c>
      <c r="K3" s="21">
        <v>200</v>
      </c>
      <c r="L3" s="44">
        <f t="shared" ref="L3:L8" si="0">J3*K3</f>
        <v>1200</v>
      </c>
      <c r="M3" s="23">
        <v>6.9444444444444447E-4</v>
      </c>
      <c r="N3" s="23">
        <f>Tabla1[[#This Row],[Series]]*Tabla1[[#This Row],[Tiempo Ejec.]]</f>
        <v>4.1666666666666666E-3</v>
      </c>
      <c r="O3" s="22"/>
    </row>
    <row r="4" spans="1:15" ht="16.8" x14ac:dyDescent="0.3">
      <c r="B4" s="4" t="s">
        <v>18</v>
      </c>
      <c r="C4" s="4" t="s">
        <v>22</v>
      </c>
      <c r="D4" s="5">
        <v>45999</v>
      </c>
      <c r="E4" s="21" t="str">
        <f>TEXT(Tabla1[[#This Row],[FECHA]],"dddd")</f>
        <v>lunes</v>
      </c>
      <c r="F4" s="21" t="str">
        <f>TEXT(Tabla1[[#This Row],[FECHA]],"mmmm")</f>
        <v>diciembre</v>
      </c>
      <c r="G4" s="21" t="s">
        <v>77</v>
      </c>
      <c r="H4" s="22" t="s">
        <v>3</v>
      </c>
      <c r="I4" s="22" t="s">
        <v>12</v>
      </c>
      <c r="J4" s="21">
        <v>4</v>
      </c>
      <c r="K4" s="21">
        <v>100</v>
      </c>
      <c r="L4" s="44">
        <f t="shared" si="0"/>
        <v>400</v>
      </c>
      <c r="M4" s="23">
        <v>6.9444444444444447E-4</v>
      </c>
      <c r="N4" s="23">
        <f>Tabla1[[#This Row],[Series]]*Tabla1[[#This Row],[Tiempo Ejec.]]</f>
        <v>2.7777777777777779E-3</v>
      </c>
      <c r="O4" s="22"/>
    </row>
    <row r="5" spans="1:15" ht="16.8" x14ac:dyDescent="0.3">
      <c r="B5" s="4" t="s">
        <v>18</v>
      </c>
      <c r="C5" s="4" t="s">
        <v>22</v>
      </c>
      <c r="D5" s="5">
        <v>45999</v>
      </c>
      <c r="E5" s="21" t="str">
        <f>TEXT(Tabla1[[#This Row],[FECHA]],"dddd")</f>
        <v>lunes</v>
      </c>
      <c r="F5" s="21" t="str">
        <f>TEXT(Tabla1[[#This Row],[FECHA]],"mmmm")</f>
        <v>diciembre</v>
      </c>
      <c r="G5" s="21" t="s">
        <v>77</v>
      </c>
      <c r="H5" s="22" t="s">
        <v>3</v>
      </c>
      <c r="I5" s="22" t="s">
        <v>12</v>
      </c>
      <c r="J5" s="21">
        <v>10</v>
      </c>
      <c r="K5" s="21">
        <v>25</v>
      </c>
      <c r="L5" s="44">
        <f t="shared" si="0"/>
        <v>250</v>
      </c>
      <c r="M5" s="23">
        <v>6.9444444444444447E-4</v>
      </c>
      <c r="N5" s="23">
        <f>Tabla1[[#This Row],[Series]]*Tabla1[[#This Row],[Tiempo Ejec.]]</f>
        <v>6.9444444444444449E-3</v>
      </c>
      <c r="O5" s="22"/>
    </row>
    <row r="6" spans="1:15" ht="16.8" x14ac:dyDescent="0.3">
      <c r="B6" s="4" t="s">
        <v>18</v>
      </c>
      <c r="C6" s="4" t="s">
        <v>22</v>
      </c>
      <c r="D6" s="5">
        <v>45999</v>
      </c>
      <c r="E6" s="21" t="str">
        <f>TEXT(Tabla1[[#This Row],[FECHA]],"dddd")</f>
        <v>lunes</v>
      </c>
      <c r="F6" s="21" t="str">
        <f>TEXT(Tabla1[[#This Row],[FECHA]],"mmmm")</f>
        <v>diciembre</v>
      </c>
      <c r="G6" s="21" t="s">
        <v>77</v>
      </c>
      <c r="H6" s="22" t="s">
        <v>3</v>
      </c>
      <c r="I6" s="22" t="s">
        <v>12</v>
      </c>
      <c r="J6" s="21">
        <v>2</v>
      </c>
      <c r="K6" s="21">
        <v>400</v>
      </c>
      <c r="L6" s="44">
        <f t="shared" si="0"/>
        <v>800</v>
      </c>
      <c r="M6" s="23">
        <v>6.9444444444444447E-4</v>
      </c>
      <c r="N6" s="23">
        <f>Tabla1[[#This Row],[Series]]*Tabla1[[#This Row],[Tiempo Ejec.]]</f>
        <v>1.3888888888888889E-3</v>
      </c>
      <c r="O6" s="22"/>
    </row>
    <row r="7" spans="1:15" ht="16.8" x14ac:dyDescent="0.3">
      <c r="B7" s="4" t="s">
        <v>18</v>
      </c>
      <c r="C7" s="4" t="s">
        <v>22</v>
      </c>
      <c r="D7" s="5">
        <v>45999</v>
      </c>
      <c r="E7" s="21" t="str">
        <f>TEXT(Tabla1[[#This Row],[FECHA]],"dddd")</f>
        <v>lunes</v>
      </c>
      <c r="F7" s="21" t="str">
        <f>TEXT(Tabla1[[#This Row],[FECHA]],"mmmm")</f>
        <v>diciembre</v>
      </c>
      <c r="G7" s="21" t="s">
        <v>77</v>
      </c>
      <c r="H7" s="22" t="s">
        <v>3</v>
      </c>
      <c r="I7" s="22" t="s">
        <v>12</v>
      </c>
      <c r="J7" s="21">
        <v>6</v>
      </c>
      <c r="K7" s="21">
        <v>50</v>
      </c>
      <c r="L7" s="44">
        <f t="shared" si="0"/>
        <v>300</v>
      </c>
      <c r="M7" s="23">
        <v>6.9444444444444447E-4</v>
      </c>
      <c r="N7" s="23">
        <f>Tabla1[[#This Row],[Series]]*Tabla1[[#This Row],[Tiempo Ejec.]]</f>
        <v>4.1666666666666666E-3</v>
      </c>
      <c r="O7" s="22"/>
    </row>
    <row r="8" spans="1:15" ht="16.8" x14ac:dyDescent="0.3">
      <c r="B8" s="4" t="s">
        <v>18</v>
      </c>
      <c r="C8" s="4" t="s">
        <v>22</v>
      </c>
      <c r="D8" s="5">
        <v>45999</v>
      </c>
      <c r="E8" s="21" t="str">
        <f>TEXT(Tabla1[[#This Row],[FECHA]],"dddd")</f>
        <v>lunes</v>
      </c>
      <c r="F8" s="21" t="str">
        <f>TEXT(Tabla1[[#This Row],[FECHA]],"mmmm")</f>
        <v>diciembre</v>
      </c>
      <c r="G8" s="21" t="s">
        <v>77</v>
      </c>
      <c r="H8" s="22" t="s">
        <v>3</v>
      </c>
      <c r="I8" s="22" t="s">
        <v>12</v>
      </c>
      <c r="J8" s="21">
        <v>10</v>
      </c>
      <c r="K8" s="21">
        <v>25</v>
      </c>
      <c r="L8" s="44">
        <f t="shared" si="0"/>
        <v>250</v>
      </c>
      <c r="M8" s="23">
        <v>6.9444444444444447E-4</v>
      </c>
      <c r="N8" s="23">
        <f>Tabla1[[#This Row],[Series]]*Tabla1[[#This Row],[Tiempo Ejec.]]</f>
        <v>6.9444444444444449E-3</v>
      </c>
      <c r="O8" s="22"/>
    </row>
    <row r="9" spans="1:15" ht="16.8" x14ac:dyDescent="0.3">
      <c r="B9" s="4" t="s">
        <v>18</v>
      </c>
      <c r="C9" s="4" t="s">
        <v>22</v>
      </c>
      <c r="D9" s="5">
        <v>46000</v>
      </c>
      <c r="E9" s="21" t="str">
        <f>TEXT(Tabla1[[#This Row],[FECHA]],"dddd")</f>
        <v>martes</v>
      </c>
      <c r="F9" s="21" t="str">
        <f>TEXT(Tabla1[[#This Row],[FECHA]],"mmmm")</f>
        <v>diciembre</v>
      </c>
      <c r="G9" s="21" t="s">
        <v>47</v>
      </c>
      <c r="H9" s="22" t="s">
        <v>4</v>
      </c>
      <c r="I9" s="22" t="s">
        <v>13</v>
      </c>
      <c r="J9" s="21">
        <v>4</v>
      </c>
      <c r="K9" s="21">
        <v>800</v>
      </c>
      <c r="L9" s="44">
        <f>J9*K9</f>
        <v>3200</v>
      </c>
      <c r="M9" s="23">
        <v>1.0416666666666666E-2</v>
      </c>
      <c r="N9" s="23">
        <f>Tabla1[[#This Row],[Series]]*Tabla1[[#This Row],[Tiempo Ejec.]]</f>
        <v>4.1666666666666664E-2</v>
      </c>
      <c r="O9" s="22"/>
    </row>
    <row r="10" spans="1:15" ht="16.8" x14ac:dyDescent="0.3">
      <c r="B10" s="4" t="s">
        <v>18</v>
      </c>
      <c r="C10" s="4" t="s">
        <v>23</v>
      </c>
      <c r="D10" s="5">
        <v>46001</v>
      </c>
      <c r="E10" s="21" t="str">
        <f>TEXT(Tabla1[[#This Row],[FECHA]],"dddd")</f>
        <v>miércoles</v>
      </c>
      <c r="F10" s="21" t="str">
        <f>TEXT(Tabla1[[#This Row],[FECHA]],"mmmm")</f>
        <v>diciembre</v>
      </c>
      <c r="G10" s="21" t="s">
        <v>47</v>
      </c>
      <c r="H10" s="22" t="s">
        <v>4</v>
      </c>
      <c r="I10" s="22" t="s">
        <v>13</v>
      </c>
      <c r="J10" s="21">
        <v>6</v>
      </c>
      <c r="K10" s="21">
        <v>200</v>
      </c>
      <c r="L10" s="44">
        <f t="shared" ref="L10:L12" si="1">J10*K10</f>
        <v>1200</v>
      </c>
      <c r="M10" s="23">
        <v>1.0416666666666666E-2</v>
      </c>
      <c r="N10" s="23">
        <f>Tabla1[[#This Row],[Series]]*Tabla1[[#This Row],[Tiempo Ejec.]]</f>
        <v>6.25E-2</v>
      </c>
      <c r="O10" s="22"/>
    </row>
    <row r="11" spans="1:15" ht="16.8" x14ac:dyDescent="0.3">
      <c r="B11" s="4" t="s">
        <v>18</v>
      </c>
      <c r="C11" s="4" t="s">
        <v>24</v>
      </c>
      <c r="D11" s="5">
        <v>46002</v>
      </c>
      <c r="E11" s="21" t="str">
        <f>TEXT(Tabla1[[#This Row],[FECHA]],"dddd")</f>
        <v>jueves</v>
      </c>
      <c r="F11" s="21" t="str">
        <f>TEXT(Tabla1[[#This Row],[FECHA]],"mmmm")</f>
        <v>diciembre</v>
      </c>
      <c r="G11" s="21" t="s">
        <v>78</v>
      </c>
      <c r="H11" s="22" t="s">
        <v>28</v>
      </c>
      <c r="I11" s="22" t="s">
        <v>14</v>
      </c>
      <c r="J11" s="21">
        <v>8</v>
      </c>
      <c r="K11" s="21">
        <v>15</v>
      </c>
      <c r="L11" s="44">
        <f>J11*K11</f>
        <v>120</v>
      </c>
      <c r="M11" s="23">
        <v>1.3888888888888889E-3</v>
      </c>
      <c r="N11" s="23">
        <f>Tabla1[[#This Row],[Series]]*Tabla1[[#This Row],[Tiempo Ejec.]]</f>
        <v>1.1111111111111112E-2</v>
      </c>
      <c r="O11" s="22"/>
    </row>
    <row r="12" spans="1:15" ht="16.8" x14ac:dyDescent="0.3">
      <c r="B12" s="4" t="s">
        <v>18</v>
      </c>
      <c r="C12" s="4" t="s">
        <v>25</v>
      </c>
      <c r="D12" s="5">
        <v>46003</v>
      </c>
      <c r="E12" s="21" t="str">
        <f>TEXT(Tabla1[[#This Row],[FECHA]],"dddd")</f>
        <v>viernes</v>
      </c>
      <c r="F12" s="21" t="str">
        <f>TEXT(Tabla1[[#This Row],[FECHA]],"mmmm")</f>
        <v>diciembre</v>
      </c>
      <c r="G12" s="21" t="s">
        <v>78</v>
      </c>
      <c r="H12" s="22" t="s">
        <v>5</v>
      </c>
      <c r="I12" s="22" t="s">
        <v>14</v>
      </c>
      <c r="J12" s="21">
        <v>12</v>
      </c>
      <c r="K12" s="21">
        <v>25</v>
      </c>
      <c r="L12" s="44">
        <f t="shared" si="1"/>
        <v>300</v>
      </c>
      <c r="M12" s="23">
        <v>1.3888888888888889E-3</v>
      </c>
      <c r="N12" s="23">
        <f>Tabla1[[#This Row],[Series]]*Tabla1[[#This Row],[Tiempo Ejec.]]</f>
        <v>1.6666666666666666E-2</v>
      </c>
      <c r="O12" s="22"/>
    </row>
  </sheetData>
  <phoneticPr fontId="5" type="noConversion"/>
  <dataValidations count="2">
    <dataValidation type="list" allowBlank="1" showInputMessage="1" showErrorMessage="1" sqref="B2:B12" xr:uid="{FD787E02-AEB3-4C76-B7DE-94D238E95D26}">
      <formula1>"BASICO,MEDIO,AVANZADO,EQUIPO PRE, EQUIPO INF.,EQUIPO JUV.,EQUIPO MASTER"</formula1>
    </dataValidation>
    <dataValidation type="list" allowBlank="1" showInputMessage="1" showErrorMessage="1" sqref="C2:C12" xr:uid="{66B69D2A-85C8-4A5A-A972-68B0E0681ECD}">
      <formula1>"SEMANA 1,SEMANA 2,SEMANA 3, SEMANA 4,SEMANA 5"</formula1>
    </dataValidation>
  </dataValidations>
  <pageMargins left="0.7" right="0.7" top="0.75" bottom="0.75" header="0.3" footer="0.3"/>
  <pageSetup paperSize="9" orientation="portrait" r:id="rId1"/>
  <ignoredErrors>
    <ignoredError sqref="E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5CCC-818C-458E-8F2D-3D28CBE2DFCE}">
  <dimension ref="B1:O30"/>
  <sheetViews>
    <sheetView showGridLines="0" workbookViewId="0">
      <selection activeCell="R7" sqref="R7"/>
    </sheetView>
  </sheetViews>
  <sheetFormatPr baseColWidth="10" defaultRowHeight="14.4" x14ac:dyDescent="0.3"/>
  <cols>
    <col min="2" max="2" width="10.44140625" bestFit="1" customWidth="1"/>
    <col min="3" max="3" width="9" bestFit="1" customWidth="1"/>
    <col min="4" max="4" width="10.44140625" bestFit="1" customWidth="1"/>
    <col min="5" max="5" width="8.77734375" bestFit="1" customWidth="1"/>
    <col min="6" max="6" width="11.77734375" customWidth="1"/>
    <col min="8" max="8" width="15.6640625" customWidth="1"/>
    <col min="9" max="9" width="18.77734375" customWidth="1"/>
    <col min="10" max="10" width="7.44140625" bestFit="1" customWidth="1"/>
    <col min="11" max="11" width="9.33203125" bestFit="1" customWidth="1"/>
    <col min="12" max="14" width="9.5546875" customWidth="1"/>
  </cols>
  <sheetData>
    <row r="1" spans="2:15" x14ac:dyDescent="0.3">
      <c r="B1" s="7" t="s">
        <v>20</v>
      </c>
      <c r="D1" s="7" t="s">
        <v>19</v>
      </c>
      <c r="E1" s="7" t="s">
        <v>6</v>
      </c>
    </row>
    <row r="2" spans="2:15" x14ac:dyDescent="0.3">
      <c r="D2" s="4" t="s">
        <v>18</v>
      </c>
      <c r="E2" s="4" t="s">
        <v>22</v>
      </c>
    </row>
    <row r="4" spans="2:15" ht="50.4" x14ac:dyDescent="0.3">
      <c r="B4" s="48" t="s">
        <v>8</v>
      </c>
      <c r="C4" s="48" t="s">
        <v>21</v>
      </c>
      <c r="D4" s="48" t="s">
        <v>6</v>
      </c>
      <c r="E4" s="48" t="s">
        <v>7</v>
      </c>
      <c r="F4" s="48" t="s">
        <v>17</v>
      </c>
      <c r="G4" s="47" t="s">
        <v>49</v>
      </c>
      <c r="H4" s="48" t="s">
        <v>0</v>
      </c>
      <c r="I4" s="49" t="s">
        <v>1</v>
      </c>
      <c r="J4" s="48" t="s">
        <v>9</v>
      </c>
      <c r="K4" s="48" t="s">
        <v>10</v>
      </c>
      <c r="L4" s="48" t="s">
        <v>11</v>
      </c>
      <c r="M4" s="48" t="s">
        <v>15</v>
      </c>
      <c r="N4" s="48" t="s">
        <v>16</v>
      </c>
      <c r="O4" s="48" t="s">
        <v>2</v>
      </c>
    </row>
    <row r="5" spans="2:15" ht="16.8" x14ac:dyDescent="0.3">
      <c r="B5" s="4" t="str" cm="1">
        <f t="array" ref="B5:O12">_xlfn._xlws.FILTER(Tabla1[],('Buscador Entrenamientos'!D2=Tabla1[Grupo])*('Buscador Entrenamientos'!E2=Tabla1[SEMANA]))</f>
        <v>EQUIPO INF.</v>
      </c>
      <c r="C5" s="4" t="str">
        <v>SEMANA 2</v>
      </c>
      <c r="D5" s="5">
        <v>45999</v>
      </c>
      <c r="E5" s="2" t="str">
        <v>lunes</v>
      </c>
      <c r="F5" s="2" t="str">
        <v>diciembre</v>
      </c>
      <c r="G5" s="1" t="str">
        <v>R1</v>
      </c>
      <c r="H5" s="1" t="str">
        <v>Técnica crol</v>
      </c>
      <c r="I5" s="21" t="str">
        <v>Crol punto muerto</v>
      </c>
      <c r="J5" s="2">
        <v>8</v>
      </c>
      <c r="K5" s="2">
        <v>50</v>
      </c>
      <c r="L5" s="2">
        <v>400</v>
      </c>
      <c r="M5" s="11">
        <v>6.9444444444444447E-4</v>
      </c>
      <c r="N5" s="11">
        <v>5.5555555555555558E-3</v>
      </c>
      <c r="O5">
        <v>0</v>
      </c>
    </row>
    <row r="6" spans="2:15" ht="16.8" x14ac:dyDescent="0.3">
      <c r="B6" s="4" t="str">
        <v>EQUIPO INF.</v>
      </c>
      <c r="C6" s="4" t="str">
        <v>SEMANA 2</v>
      </c>
      <c r="D6" s="5">
        <v>45999</v>
      </c>
      <c r="E6" s="2" t="str">
        <v>lunes</v>
      </c>
      <c r="F6" s="2" t="str">
        <v>diciembre</v>
      </c>
      <c r="G6" s="1" t="str">
        <v>R1</v>
      </c>
      <c r="H6" s="1" t="str">
        <v>Técnica crol</v>
      </c>
      <c r="I6" s="21" t="str">
        <v>Crol punto muerto</v>
      </c>
      <c r="J6" s="2">
        <v>6</v>
      </c>
      <c r="K6" s="2">
        <v>200</v>
      </c>
      <c r="L6" s="2">
        <v>1200</v>
      </c>
      <c r="M6" s="11">
        <v>6.9444444444444447E-4</v>
      </c>
      <c r="N6" s="11">
        <v>4.1666666666666666E-3</v>
      </c>
      <c r="O6">
        <v>0</v>
      </c>
    </row>
    <row r="7" spans="2:15" ht="16.8" x14ac:dyDescent="0.3">
      <c r="B7" s="4" t="str">
        <v>EQUIPO INF.</v>
      </c>
      <c r="C7" s="4" t="str">
        <v>SEMANA 2</v>
      </c>
      <c r="D7" s="5">
        <v>45999</v>
      </c>
      <c r="E7" s="2" t="str">
        <v>lunes</v>
      </c>
      <c r="F7" s="2" t="str">
        <v>diciembre</v>
      </c>
      <c r="G7" s="1" t="str">
        <v>R1</v>
      </c>
      <c r="H7" s="1" t="str">
        <v>Técnica crol</v>
      </c>
      <c r="I7" s="21" t="str">
        <v>Crol punto muerto</v>
      </c>
      <c r="J7" s="2">
        <v>4</v>
      </c>
      <c r="K7" s="2">
        <v>100</v>
      </c>
      <c r="L7" s="2">
        <v>400</v>
      </c>
      <c r="M7" s="11">
        <v>6.9444444444444447E-4</v>
      </c>
      <c r="N7" s="11">
        <v>2.7777777777777779E-3</v>
      </c>
      <c r="O7">
        <v>0</v>
      </c>
    </row>
    <row r="8" spans="2:15" ht="16.8" x14ac:dyDescent="0.3">
      <c r="B8" s="4" t="str">
        <v>EQUIPO INF.</v>
      </c>
      <c r="C8" s="4" t="str">
        <v>SEMANA 2</v>
      </c>
      <c r="D8" s="5">
        <v>45999</v>
      </c>
      <c r="E8" s="2" t="str">
        <v>lunes</v>
      </c>
      <c r="F8" s="2" t="str">
        <v>diciembre</v>
      </c>
      <c r="G8" s="1" t="str">
        <v>R1</v>
      </c>
      <c r="H8" s="1" t="str">
        <v>Técnica crol</v>
      </c>
      <c r="I8" s="21" t="str">
        <v>Crol punto muerto</v>
      </c>
      <c r="J8" s="2">
        <v>10</v>
      </c>
      <c r="K8" s="2">
        <v>25</v>
      </c>
      <c r="L8" s="2">
        <v>250</v>
      </c>
      <c r="M8" s="11">
        <v>6.9444444444444447E-4</v>
      </c>
      <c r="N8" s="11">
        <v>6.9444444444444449E-3</v>
      </c>
      <c r="O8">
        <v>0</v>
      </c>
    </row>
    <row r="9" spans="2:15" ht="16.8" x14ac:dyDescent="0.3">
      <c r="B9" s="4" t="str">
        <v>EQUIPO INF.</v>
      </c>
      <c r="C9" s="4" t="str">
        <v>SEMANA 2</v>
      </c>
      <c r="D9" s="5">
        <v>45999</v>
      </c>
      <c r="E9" s="2" t="str">
        <v>lunes</v>
      </c>
      <c r="F9" s="2" t="str">
        <v>diciembre</v>
      </c>
      <c r="G9" s="1" t="str">
        <v>R1</v>
      </c>
      <c r="H9" s="1" t="str">
        <v>Técnica crol</v>
      </c>
      <c r="I9" s="21" t="str">
        <v>Crol punto muerto</v>
      </c>
      <c r="J9" s="2">
        <v>2</v>
      </c>
      <c r="K9" s="2">
        <v>400</v>
      </c>
      <c r="L9" s="2">
        <v>800</v>
      </c>
      <c r="M9" s="11">
        <v>6.9444444444444447E-4</v>
      </c>
      <c r="N9" s="11">
        <v>1.3888888888888889E-3</v>
      </c>
      <c r="O9">
        <v>0</v>
      </c>
    </row>
    <row r="10" spans="2:15" ht="16.8" x14ac:dyDescent="0.3">
      <c r="B10" s="4" t="str">
        <v>EQUIPO INF.</v>
      </c>
      <c r="C10" s="4" t="str">
        <v>SEMANA 2</v>
      </c>
      <c r="D10" s="5">
        <v>45999</v>
      </c>
      <c r="E10" s="2" t="str">
        <v>lunes</v>
      </c>
      <c r="F10" s="2" t="str">
        <v>diciembre</v>
      </c>
      <c r="G10" s="1" t="str">
        <v>R1</v>
      </c>
      <c r="H10" s="1" t="str">
        <v>Técnica crol</v>
      </c>
      <c r="I10" s="21" t="str">
        <v>Crol punto muerto</v>
      </c>
      <c r="J10" s="2">
        <v>6</v>
      </c>
      <c r="K10" s="2">
        <v>50</v>
      </c>
      <c r="L10" s="2">
        <v>300</v>
      </c>
      <c r="M10" s="11">
        <v>6.9444444444444447E-4</v>
      </c>
      <c r="N10" s="11">
        <v>4.1666666666666666E-3</v>
      </c>
      <c r="O10">
        <v>0</v>
      </c>
    </row>
    <row r="11" spans="2:15" ht="16.8" x14ac:dyDescent="0.3">
      <c r="B11" s="4" t="str">
        <v>EQUIPO INF.</v>
      </c>
      <c r="C11" s="4" t="str">
        <v>SEMANA 2</v>
      </c>
      <c r="D11" s="5">
        <v>45999</v>
      </c>
      <c r="E11" s="2" t="str">
        <v>lunes</v>
      </c>
      <c r="F11" s="2" t="str">
        <v>diciembre</v>
      </c>
      <c r="G11" s="1" t="str">
        <v>R1</v>
      </c>
      <c r="H11" s="1" t="str">
        <v>Técnica crol</v>
      </c>
      <c r="I11" s="21" t="str">
        <v>Crol punto muerto</v>
      </c>
      <c r="J11" s="2">
        <v>10</v>
      </c>
      <c r="K11" s="2">
        <v>25</v>
      </c>
      <c r="L11" s="2">
        <v>250</v>
      </c>
      <c r="M11" s="11">
        <v>6.9444444444444447E-4</v>
      </c>
      <c r="N11" s="11">
        <v>6.9444444444444449E-3</v>
      </c>
      <c r="O11">
        <v>0</v>
      </c>
    </row>
    <row r="12" spans="2:15" ht="16.8" x14ac:dyDescent="0.3">
      <c r="B12" s="4" t="str">
        <v>EQUIPO INF.</v>
      </c>
      <c r="C12" s="4" t="str">
        <v>SEMANA 2</v>
      </c>
      <c r="D12" s="5">
        <v>46000</v>
      </c>
      <c r="E12" s="2" t="str">
        <v>martes</v>
      </c>
      <c r="F12" s="2" t="str">
        <v>diciembre</v>
      </c>
      <c r="G12" s="1" t="str">
        <v>R2</v>
      </c>
      <c r="H12" s="1" t="str">
        <v>Resistencia</v>
      </c>
      <c r="I12" s="21" t="str">
        <v>Crol ritmo aeróbico</v>
      </c>
      <c r="J12" s="2">
        <v>4</v>
      </c>
      <c r="K12" s="2">
        <v>800</v>
      </c>
      <c r="L12" s="2">
        <v>3200</v>
      </c>
      <c r="M12" s="11">
        <v>1.0416666666666666E-2</v>
      </c>
      <c r="N12" s="11">
        <v>4.1666666666666664E-2</v>
      </c>
      <c r="O12">
        <v>0</v>
      </c>
    </row>
    <row r="13" spans="2:15" ht="16.8" x14ac:dyDescent="0.3">
      <c r="B13" s="4"/>
      <c r="C13" s="4"/>
      <c r="D13" s="5"/>
      <c r="E13" s="2"/>
      <c r="F13" s="2"/>
      <c r="G13" s="1"/>
      <c r="H13" s="1"/>
      <c r="I13" s="21"/>
      <c r="J13" s="2"/>
      <c r="K13" s="2"/>
      <c r="L13" s="11"/>
      <c r="M13" s="11"/>
      <c r="N13" s="1"/>
    </row>
    <row r="14" spans="2:15" ht="16.8" x14ac:dyDescent="0.3">
      <c r="B14" s="4"/>
      <c r="C14" s="4"/>
      <c r="D14" s="5"/>
      <c r="E14" s="2"/>
      <c r="F14" s="2"/>
      <c r="G14" s="1"/>
      <c r="H14" s="1"/>
      <c r="I14" s="21"/>
      <c r="J14" s="2"/>
      <c r="K14" s="2"/>
      <c r="L14" s="11"/>
      <c r="M14" s="11"/>
      <c r="N14" s="1"/>
    </row>
    <row r="15" spans="2:15" ht="16.8" x14ac:dyDescent="0.3">
      <c r="B15" s="4"/>
      <c r="C15" s="4"/>
      <c r="D15" s="5"/>
      <c r="E15" s="2"/>
      <c r="F15" s="2"/>
      <c r="G15" s="1"/>
      <c r="H15" s="1"/>
      <c r="I15" s="21"/>
      <c r="J15" s="2"/>
      <c r="K15" s="2"/>
      <c r="L15" s="11"/>
      <c r="M15" s="11"/>
      <c r="N15" s="1"/>
    </row>
    <row r="16" spans="2:15" ht="16.8" x14ac:dyDescent="0.3">
      <c r="B16" s="4"/>
      <c r="C16" s="4"/>
      <c r="D16" s="5"/>
      <c r="E16" s="2"/>
      <c r="F16" s="2"/>
      <c r="G16" s="1"/>
      <c r="H16" s="1"/>
      <c r="I16" s="21"/>
      <c r="J16" s="2"/>
      <c r="K16" s="2"/>
      <c r="L16" s="8"/>
      <c r="M16" s="8"/>
      <c r="N16" s="1"/>
    </row>
    <row r="17" spans="2:14" ht="16.8" x14ac:dyDescent="0.3">
      <c r="B17" s="4"/>
      <c r="C17" s="4"/>
      <c r="D17" s="5"/>
      <c r="E17" s="2"/>
      <c r="F17" s="2"/>
      <c r="G17" s="1"/>
      <c r="H17" s="1"/>
      <c r="I17" s="21"/>
      <c r="J17" s="2"/>
      <c r="K17" s="2"/>
      <c r="L17" s="8"/>
      <c r="M17" s="8"/>
      <c r="N17" s="1"/>
    </row>
    <row r="18" spans="2:14" ht="16.8" x14ac:dyDescent="0.3">
      <c r="B18" s="4"/>
      <c r="C18" s="4"/>
      <c r="D18" s="5"/>
      <c r="E18" s="2"/>
      <c r="F18" s="2"/>
      <c r="G18" s="1"/>
      <c r="H18" s="1"/>
      <c r="I18" s="21"/>
      <c r="J18" s="2"/>
      <c r="K18" s="2"/>
      <c r="L18" s="8"/>
      <c r="M18" s="8"/>
      <c r="N18" s="1"/>
    </row>
    <row r="19" spans="2:14" ht="16.8" x14ac:dyDescent="0.3">
      <c r="B19" s="4"/>
      <c r="C19" s="4"/>
      <c r="D19" s="5"/>
      <c r="E19" s="2"/>
      <c r="F19" s="2"/>
      <c r="G19" s="1"/>
      <c r="H19" s="1"/>
      <c r="I19" s="21"/>
      <c r="J19" s="2"/>
      <c r="K19" s="2"/>
      <c r="L19" s="8"/>
      <c r="M19" s="8"/>
      <c r="N19" s="1"/>
    </row>
    <row r="20" spans="2:14" ht="16.8" x14ac:dyDescent="0.3">
      <c r="B20" s="4"/>
      <c r="C20" s="4"/>
      <c r="D20" s="5"/>
      <c r="E20" s="2"/>
      <c r="F20" s="2"/>
      <c r="G20" s="1"/>
      <c r="H20" s="1"/>
      <c r="I20" s="21"/>
      <c r="J20" s="2"/>
      <c r="K20" s="2"/>
      <c r="L20" s="8"/>
      <c r="M20" s="8"/>
      <c r="N20" s="1"/>
    </row>
    <row r="21" spans="2:14" ht="16.8" x14ac:dyDescent="0.3">
      <c r="B21" s="4"/>
      <c r="C21" s="4"/>
      <c r="D21" s="5"/>
      <c r="E21" s="2"/>
      <c r="F21" s="2"/>
      <c r="G21" s="1"/>
      <c r="H21" s="1"/>
      <c r="I21" s="21"/>
      <c r="J21" s="2"/>
      <c r="K21" s="2"/>
      <c r="L21" s="8"/>
      <c r="M21" s="8"/>
      <c r="N21" s="1"/>
    </row>
    <row r="22" spans="2:14" ht="16.8" x14ac:dyDescent="0.3">
      <c r="B22" s="4"/>
      <c r="C22" s="4"/>
      <c r="D22" s="5"/>
      <c r="E22" s="2"/>
      <c r="F22" s="2"/>
      <c r="G22" s="1"/>
      <c r="H22" s="1"/>
      <c r="I22" s="21"/>
      <c r="J22" s="2"/>
      <c r="K22" s="2"/>
      <c r="L22" s="8"/>
      <c r="M22" s="8"/>
      <c r="N22" s="1"/>
    </row>
    <row r="23" spans="2:14" ht="16.8" x14ac:dyDescent="0.3">
      <c r="B23" s="4"/>
      <c r="C23" s="4"/>
      <c r="D23" s="5"/>
      <c r="E23" s="2"/>
      <c r="F23" s="2"/>
      <c r="G23" s="1"/>
      <c r="H23" s="1"/>
      <c r="I23" s="21"/>
      <c r="J23" s="2"/>
      <c r="K23" s="2"/>
      <c r="L23" s="8"/>
      <c r="M23" s="8"/>
      <c r="N23" s="1"/>
    </row>
    <row r="24" spans="2:14" ht="16.8" x14ac:dyDescent="0.3">
      <c r="B24" s="4"/>
      <c r="C24" s="4"/>
      <c r="D24" s="5"/>
      <c r="E24" s="2"/>
      <c r="F24" s="2"/>
      <c r="G24" s="1"/>
      <c r="H24" s="1"/>
      <c r="I24" s="21"/>
      <c r="J24" s="2"/>
      <c r="K24" s="2"/>
      <c r="L24" s="8"/>
      <c r="M24" s="8"/>
      <c r="N24" s="1"/>
    </row>
    <row r="25" spans="2:14" ht="16.8" x14ac:dyDescent="0.3">
      <c r="B25" s="4"/>
      <c r="C25" s="4"/>
      <c r="D25" s="5"/>
      <c r="E25" s="2"/>
      <c r="F25" s="2"/>
      <c r="G25" s="1"/>
      <c r="H25" s="1"/>
      <c r="I25" s="21"/>
      <c r="J25" s="2"/>
      <c r="K25" s="2"/>
      <c r="L25" s="8"/>
      <c r="M25" s="8"/>
      <c r="N25" s="1"/>
    </row>
    <row r="26" spans="2:14" ht="16.8" x14ac:dyDescent="0.3">
      <c r="B26" s="4"/>
      <c r="C26" s="4"/>
      <c r="D26" s="5"/>
      <c r="E26" s="2"/>
      <c r="F26" s="2"/>
      <c r="G26" s="1"/>
      <c r="H26" s="1"/>
      <c r="I26" s="21"/>
      <c r="J26" s="2"/>
      <c r="K26" s="2"/>
      <c r="L26" s="8"/>
      <c r="M26" s="8"/>
      <c r="N26" s="1"/>
    </row>
    <row r="27" spans="2:14" ht="16.8" x14ac:dyDescent="0.3">
      <c r="B27" s="4"/>
      <c r="C27" s="4"/>
      <c r="D27" s="5"/>
      <c r="E27" s="2"/>
      <c r="F27" s="2"/>
      <c r="G27" s="1"/>
      <c r="H27" s="1"/>
      <c r="I27" s="21"/>
      <c r="J27" s="2"/>
      <c r="K27" s="2"/>
      <c r="L27" s="8"/>
      <c r="M27" s="8"/>
      <c r="N27" s="1"/>
    </row>
    <row r="28" spans="2:14" ht="16.8" x14ac:dyDescent="0.3">
      <c r="B28" s="4"/>
      <c r="C28" s="4"/>
      <c r="D28" s="5"/>
      <c r="E28" s="2"/>
      <c r="F28" s="2"/>
      <c r="G28" s="1"/>
      <c r="H28" s="1"/>
      <c r="I28" s="21"/>
      <c r="J28" s="2"/>
      <c r="K28" s="2"/>
      <c r="L28" s="8"/>
      <c r="M28" s="8"/>
      <c r="N28" s="1"/>
    </row>
    <row r="29" spans="2:14" ht="16.8" x14ac:dyDescent="0.3">
      <c r="B29" s="4"/>
      <c r="C29" s="4"/>
      <c r="D29" s="5"/>
      <c r="E29" s="2"/>
      <c r="F29" s="2"/>
      <c r="G29" s="1"/>
      <c r="H29" s="1"/>
      <c r="I29" s="21"/>
      <c r="J29" s="2"/>
      <c r="K29" s="2"/>
      <c r="L29" s="8"/>
      <c r="M29" s="8"/>
      <c r="N29" s="1"/>
    </row>
    <row r="30" spans="2:14" ht="16.8" x14ac:dyDescent="0.3">
      <c r="B30" s="4"/>
      <c r="C30" s="4"/>
      <c r="D30" s="5"/>
      <c r="E30" s="2"/>
      <c r="F30" s="2"/>
      <c r="G30" s="1"/>
      <c r="H30" s="1"/>
      <c r="I30" s="21"/>
      <c r="J30" s="2"/>
      <c r="K30" s="2"/>
      <c r="L30" s="8"/>
      <c r="M30" s="8"/>
      <c r="N30" s="1"/>
    </row>
  </sheetData>
  <dataValidations disablePrompts="1" count="2">
    <dataValidation type="list" allowBlank="1" showInputMessage="1" showErrorMessage="1" sqref="D2" xr:uid="{E3A9F23A-41BB-4F23-83D3-101EA7824BC5}">
      <formula1>"BASICO,MEDIO,AVANZADO,EQUIPO PRE, EQUIPO INF.,EQUIPO JUV.,EQUIPO MASTER"</formula1>
    </dataValidation>
    <dataValidation type="list" allowBlank="1" showInputMessage="1" showErrorMessage="1" sqref="E2" xr:uid="{5C066BDD-4395-4E9F-9340-68EB0209C80A}">
      <formula1>"SEMANA 1,SEMANA 2,SEMANA 3, SEMANA 4,SEMANA 5"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E0B0-52C0-4D1A-B811-0182987FA689}">
  <dimension ref="B1:J38"/>
  <sheetViews>
    <sheetView showGridLines="0" tabSelected="1" workbookViewId="0">
      <selection activeCell="F14" sqref="F14"/>
    </sheetView>
  </sheetViews>
  <sheetFormatPr baseColWidth="10" defaultRowHeight="14.4" x14ac:dyDescent="0.3"/>
  <cols>
    <col min="4" max="4" width="25.33203125" customWidth="1"/>
  </cols>
  <sheetData>
    <row r="1" spans="2:10" ht="16.8" x14ac:dyDescent="0.3">
      <c r="B1" s="7" t="s">
        <v>27</v>
      </c>
      <c r="D1" s="6" t="s">
        <v>0</v>
      </c>
    </row>
    <row r="2" spans="2:10" x14ac:dyDescent="0.3">
      <c r="D2" s="9" t="s">
        <v>3</v>
      </c>
    </row>
    <row r="4" spans="2:10" ht="33.6" x14ac:dyDescent="0.3">
      <c r="B4" s="47" t="s">
        <v>49</v>
      </c>
      <c r="C4" s="48" t="s">
        <v>0</v>
      </c>
      <c r="D4" s="48" t="s">
        <v>1</v>
      </c>
      <c r="E4" s="48" t="s">
        <v>9</v>
      </c>
      <c r="F4" s="48" t="s">
        <v>10</v>
      </c>
      <c r="G4" s="48" t="s">
        <v>11</v>
      </c>
      <c r="H4" s="48" t="s">
        <v>15</v>
      </c>
      <c r="I4" s="48" t="s">
        <v>16</v>
      </c>
      <c r="J4" s="48" t="s">
        <v>2</v>
      </c>
    </row>
    <row r="5" spans="2:10" ht="16.8" x14ac:dyDescent="0.3">
      <c r="B5" s="2" t="str" cm="1">
        <f t="array" ref="B5:J11">_xlfn._xlws.FILTER(Tabla1[[Zona Entrenamiento]:[Intensidad]],('Buscador de Ejercicios'!D2=Tabla1[Objetivo]))</f>
        <v>R1</v>
      </c>
      <c r="C5" s="13" t="str">
        <v>Técnica crol</v>
      </c>
      <c r="D5" s="46" t="str">
        <v>Crol punto muerto</v>
      </c>
      <c r="E5" s="2">
        <v>8</v>
      </c>
      <c r="F5" s="2">
        <v>50</v>
      </c>
      <c r="G5" s="2">
        <v>400</v>
      </c>
      <c r="H5" s="11">
        <v>6.9444444444444447E-4</v>
      </c>
      <c r="I5" s="11">
        <v>5.5555555555555558E-3</v>
      </c>
      <c r="J5" s="2">
        <v>0</v>
      </c>
    </row>
    <row r="6" spans="2:10" ht="16.8" x14ac:dyDescent="0.3">
      <c r="B6" s="9" t="str">
        <v>R1</v>
      </c>
      <c r="C6" s="46" t="str">
        <v>Técnica crol</v>
      </c>
      <c r="D6" s="46" t="str">
        <v>Crol punto muerto</v>
      </c>
      <c r="E6" s="2">
        <v>6</v>
      </c>
      <c r="F6" s="2">
        <v>200</v>
      </c>
      <c r="G6" s="2">
        <v>1200</v>
      </c>
      <c r="H6" s="11">
        <v>6.9444444444444447E-4</v>
      </c>
      <c r="I6" s="11">
        <v>4.1666666666666666E-3</v>
      </c>
      <c r="J6" s="2">
        <v>0</v>
      </c>
    </row>
    <row r="7" spans="2:10" ht="16.8" x14ac:dyDescent="0.3">
      <c r="B7" s="9" t="str">
        <v>R1</v>
      </c>
      <c r="C7" s="46" t="str">
        <v>Técnica crol</v>
      </c>
      <c r="D7" s="46" t="str">
        <v>Crol punto muerto</v>
      </c>
      <c r="E7" s="2">
        <v>4</v>
      </c>
      <c r="F7" s="2">
        <v>100</v>
      </c>
      <c r="G7" s="2">
        <v>400</v>
      </c>
      <c r="H7" s="8">
        <v>6.9444444444444447E-4</v>
      </c>
      <c r="I7" s="8">
        <v>2.7777777777777779E-3</v>
      </c>
      <c r="J7" s="2">
        <v>0</v>
      </c>
    </row>
    <row r="8" spans="2:10" ht="16.8" x14ac:dyDescent="0.3">
      <c r="B8" s="9" t="str">
        <v>R1</v>
      </c>
      <c r="C8" s="46" t="str">
        <v>Técnica crol</v>
      </c>
      <c r="D8" s="46" t="str">
        <v>Crol punto muerto</v>
      </c>
      <c r="E8" s="2">
        <v>10</v>
      </c>
      <c r="F8" s="2">
        <v>25</v>
      </c>
      <c r="G8" s="2">
        <v>250</v>
      </c>
      <c r="H8" s="8">
        <v>6.9444444444444447E-4</v>
      </c>
      <c r="I8" s="8">
        <v>6.9444444444444449E-3</v>
      </c>
      <c r="J8" s="2">
        <v>0</v>
      </c>
    </row>
    <row r="9" spans="2:10" ht="16.8" x14ac:dyDescent="0.3">
      <c r="B9" s="9" t="str">
        <v>R1</v>
      </c>
      <c r="C9" s="46" t="str">
        <v>Técnica crol</v>
      </c>
      <c r="D9" s="46" t="str">
        <v>Crol punto muerto</v>
      </c>
      <c r="E9" s="2">
        <v>2</v>
      </c>
      <c r="F9" s="2">
        <v>400</v>
      </c>
      <c r="G9" s="2">
        <v>800</v>
      </c>
      <c r="H9" s="8">
        <v>6.9444444444444447E-4</v>
      </c>
      <c r="I9" s="8">
        <v>1.3888888888888889E-3</v>
      </c>
      <c r="J9" s="2">
        <v>0</v>
      </c>
    </row>
    <row r="10" spans="2:10" ht="16.8" x14ac:dyDescent="0.3">
      <c r="B10" s="9" t="str">
        <v>R1</v>
      </c>
      <c r="C10" s="46" t="str">
        <v>Técnica crol</v>
      </c>
      <c r="D10" s="46" t="str">
        <v>Crol punto muerto</v>
      </c>
      <c r="E10" s="2">
        <v>6</v>
      </c>
      <c r="F10" s="2">
        <v>50</v>
      </c>
      <c r="G10" s="2">
        <v>300</v>
      </c>
      <c r="H10" s="8">
        <v>6.9444444444444447E-4</v>
      </c>
      <c r="I10" s="8">
        <v>4.1666666666666666E-3</v>
      </c>
      <c r="J10" s="2">
        <v>0</v>
      </c>
    </row>
    <row r="11" spans="2:10" ht="16.8" x14ac:dyDescent="0.3">
      <c r="B11" s="9" t="str">
        <v>R1</v>
      </c>
      <c r="C11" s="46" t="str">
        <v>Técnica crol</v>
      </c>
      <c r="D11" s="46" t="str">
        <v>Crol punto muerto</v>
      </c>
      <c r="E11" s="2">
        <v>10</v>
      </c>
      <c r="F11" s="2">
        <v>25</v>
      </c>
      <c r="G11" s="2">
        <v>250</v>
      </c>
      <c r="H11" s="8">
        <v>6.9444444444444447E-4</v>
      </c>
      <c r="I11" s="8">
        <v>6.9444444444444449E-3</v>
      </c>
      <c r="J11" s="2">
        <v>0</v>
      </c>
    </row>
    <row r="12" spans="2:10" ht="16.8" x14ac:dyDescent="0.3">
      <c r="B12" s="9"/>
      <c r="C12" s="46"/>
      <c r="D12" s="46"/>
      <c r="E12" s="2"/>
      <c r="F12" s="2"/>
      <c r="G12" s="2"/>
      <c r="H12" s="8"/>
      <c r="I12" s="8"/>
      <c r="J12" s="2"/>
    </row>
    <row r="13" spans="2:10" ht="16.8" x14ac:dyDescent="0.3">
      <c r="B13" s="9"/>
      <c r="C13" s="46"/>
      <c r="D13" s="46"/>
      <c r="E13" s="2"/>
      <c r="F13" s="2"/>
      <c r="G13" s="2"/>
      <c r="H13" s="8"/>
      <c r="I13" s="8"/>
      <c r="J13" s="2"/>
    </row>
    <row r="14" spans="2:10" ht="16.8" x14ac:dyDescent="0.3">
      <c r="B14" s="9"/>
      <c r="C14" s="46"/>
      <c r="D14" s="46"/>
      <c r="E14" s="2"/>
      <c r="F14" s="2"/>
      <c r="G14" s="2"/>
      <c r="H14" s="8"/>
      <c r="I14" s="8"/>
      <c r="J14" s="2"/>
    </row>
    <row r="15" spans="2:10" ht="16.8" x14ac:dyDescent="0.3">
      <c r="B15" s="9"/>
      <c r="C15" s="46"/>
      <c r="D15" s="46"/>
      <c r="E15" s="2"/>
      <c r="F15" s="2"/>
      <c r="G15" s="2"/>
      <c r="H15" s="8"/>
      <c r="I15" s="8"/>
      <c r="J15" s="2"/>
    </row>
    <row r="16" spans="2:10" ht="16.8" x14ac:dyDescent="0.3">
      <c r="B16" s="9"/>
      <c r="C16" s="46"/>
      <c r="D16" s="46"/>
      <c r="E16" s="2"/>
      <c r="F16" s="2"/>
      <c r="G16" s="2"/>
      <c r="H16" s="8"/>
      <c r="I16" s="8"/>
      <c r="J16" s="2"/>
    </row>
    <row r="17" spans="2:10" ht="16.8" x14ac:dyDescent="0.3">
      <c r="B17" s="9"/>
      <c r="C17" s="46"/>
      <c r="D17" s="46"/>
      <c r="E17" s="2"/>
      <c r="F17" s="2"/>
      <c r="G17" s="2"/>
      <c r="H17" s="8"/>
      <c r="I17" s="8"/>
      <c r="J17" s="2"/>
    </row>
    <row r="18" spans="2:10" ht="16.8" x14ac:dyDescent="0.3">
      <c r="B18" s="9"/>
      <c r="C18" s="46"/>
      <c r="D18" s="46"/>
      <c r="E18" s="2"/>
      <c r="F18" s="2"/>
      <c r="G18" s="2"/>
      <c r="H18" s="8"/>
      <c r="I18" s="8"/>
      <c r="J18" s="2"/>
    </row>
    <row r="19" spans="2:10" ht="16.8" x14ac:dyDescent="0.3">
      <c r="B19" s="9"/>
      <c r="C19" s="46"/>
      <c r="D19" s="46"/>
      <c r="E19" s="2"/>
      <c r="F19" s="2"/>
      <c r="G19" s="2"/>
      <c r="H19" s="8"/>
      <c r="I19" s="8"/>
      <c r="J19" s="2"/>
    </row>
    <row r="20" spans="2:10" ht="16.8" x14ac:dyDescent="0.3">
      <c r="B20" s="9"/>
      <c r="C20" s="46"/>
      <c r="D20" s="46"/>
      <c r="E20" s="2"/>
      <c r="F20" s="2"/>
      <c r="G20" s="2"/>
      <c r="H20" s="8"/>
      <c r="I20" s="8"/>
      <c r="J20" s="2"/>
    </row>
    <row r="21" spans="2:10" ht="16.8" x14ac:dyDescent="0.3">
      <c r="B21" s="9"/>
      <c r="C21" s="46"/>
      <c r="D21" s="46"/>
      <c r="E21" s="2"/>
      <c r="F21" s="2"/>
      <c r="G21" s="2"/>
      <c r="H21" s="8"/>
      <c r="I21" s="8"/>
      <c r="J21" s="2"/>
    </row>
    <row r="22" spans="2:10" ht="16.8" x14ac:dyDescent="0.3">
      <c r="C22" s="1"/>
      <c r="D22" s="46"/>
      <c r="E22" s="2"/>
      <c r="F22" s="2"/>
      <c r="G22" s="2"/>
      <c r="H22" s="8"/>
      <c r="I22" s="8"/>
      <c r="J22" s="2"/>
    </row>
    <row r="23" spans="2:10" ht="16.8" x14ac:dyDescent="0.3">
      <c r="C23" s="1"/>
      <c r="D23" s="46"/>
      <c r="E23" s="2"/>
      <c r="F23" s="2"/>
      <c r="G23" s="2"/>
      <c r="H23" s="8"/>
      <c r="I23" s="8"/>
      <c r="J23" s="2"/>
    </row>
    <row r="24" spans="2:10" ht="16.8" x14ac:dyDescent="0.3">
      <c r="C24" s="1"/>
      <c r="D24" s="46"/>
      <c r="E24" s="2"/>
      <c r="F24" s="2"/>
      <c r="G24" s="2"/>
      <c r="H24" s="8"/>
      <c r="I24" s="8"/>
      <c r="J24" s="2"/>
    </row>
    <row r="25" spans="2:10" ht="16.8" x14ac:dyDescent="0.3">
      <c r="C25" s="1"/>
      <c r="D25" s="46"/>
      <c r="E25" s="2"/>
      <c r="F25" s="2"/>
      <c r="G25" s="2"/>
      <c r="H25" s="8"/>
      <c r="I25" s="8"/>
      <c r="J25" s="2"/>
    </row>
    <row r="26" spans="2:10" ht="16.8" x14ac:dyDescent="0.3">
      <c r="C26" s="1"/>
      <c r="D26" s="1"/>
      <c r="E26" s="2"/>
      <c r="F26" s="2"/>
      <c r="G26" s="2"/>
      <c r="H26" s="8"/>
      <c r="I26" s="8"/>
      <c r="J26" s="2"/>
    </row>
    <row r="27" spans="2:10" ht="16.8" x14ac:dyDescent="0.3">
      <c r="C27" s="1"/>
      <c r="D27" s="1"/>
      <c r="E27" s="2"/>
      <c r="F27" s="2"/>
      <c r="G27" s="2"/>
      <c r="H27" s="8"/>
      <c r="I27" s="8"/>
      <c r="J27" s="2"/>
    </row>
    <row r="28" spans="2:10" ht="16.8" x14ac:dyDescent="0.3">
      <c r="C28" s="1"/>
      <c r="D28" s="1"/>
      <c r="E28" s="2"/>
      <c r="F28" s="2"/>
      <c r="G28" s="2"/>
      <c r="H28" s="8"/>
      <c r="I28" s="8"/>
      <c r="J28" s="2"/>
    </row>
    <row r="29" spans="2:10" ht="16.8" x14ac:dyDescent="0.3">
      <c r="C29" s="1"/>
      <c r="D29" s="1"/>
      <c r="E29" s="2"/>
      <c r="F29" s="2"/>
      <c r="G29" s="2"/>
      <c r="H29" s="8"/>
      <c r="I29" s="8"/>
      <c r="J29" s="2"/>
    </row>
    <row r="30" spans="2:10" ht="16.8" x14ac:dyDescent="0.3">
      <c r="C30" s="1"/>
      <c r="D30" s="1"/>
      <c r="E30" s="2"/>
      <c r="F30" s="2"/>
      <c r="G30" s="2"/>
      <c r="H30" s="8"/>
      <c r="I30" s="8"/>
      <c r="J30" s="2"/>
    </row>
    <row r="31" spans="2:10" ht="16.8" x14ac:dyDescent="0.3">
      <c r="C31" s="1"/>
      <c r="D31" s="1"/>
      <c r="E31" s="2"/>
      <c r="F31" s="2"/>
      <c r="G31" s="2"/>
      <c r="H31" s="8"/>
      <c r="I31" s="8"/>
      <c r="J31" s="2"/>
    </row>
    <row r="32" spans="2:10" ht="16.8" x14ac:dyDescent="0.3">
      <c r="C32" s="1"/>
      <c r="D32" s="1"/>
      <c r="E32" s="2"/>
      <c r="F32" s="2"/>
      <c r="G32" s="2"/>
      <c r="H32" s="8"/>
      <c r="I32" s="8"/>
      <c r="J32" s="2"/>
    </row>
    <row r="33" spans="3:10" ht="16.8" x14ac:dyDescent="0.3">
      <c r="C33" s="1"/>
      <c r="D33" s="1"/>
      <c r="E33" s="2"/>
      <c r="F33" s="2"/>
      <c r="G33" s="2"/>
      <c r="H33" s="8"/>
      <c r="I33" s="8"/>
      <c r="J33" s="2"/>
    </row>
    <row r="34" spans="3:10" ht="16.8" x14ac:dyDescent="0.3">
      <c r="C34" s="1"/>
      <c r="D34" s="1"/>
      <c r="E34" s="2"/>
      <c r="F34" s="2"/>
      <c r="G34" s="2"/>
      <c r="H34" s="8"/>
      <c r="I34" s="8"/>
      <c r="J34" s="2"/>
    </row>
    <row r="35" spans="3:10" x14ac:dyDescent="0.3">
      <c r="E35" s="9"/>
      <c r="F35" s="9"/>
      <c r="G35" s="9"/>
      <c r="H35" s="9"/>
      <c r="I35" s="9"/>
      <c r="J35" s="9"/>
    </row>
    <row r="36" spans="3:10" x14ac:dyDescent="0.3">
      <c r="E36" s="9"/>
      <c r="F36" s="9"/>
      <c r="G36" s="9"/>
      <c r="H36" s="9"/>
      <c r="I36" s="9"/>
      <c r="J36" s="9"/>
    </row>
    <row r="37" spans="3:10" x14ac:dyDescent="0.3">
      <c r="E37" s="9"/>
      <c r="F37" s="9"/>
      <c r="G37" s="9"/>
      <c r="H37" s="9"/>
      <c r="I37" s="9"/>
      <c r="J37" s="9"/>
    </row>
    <row r="38" spans="3:10" x14ac:dyDescent="0.3">
      <c r="E38" s="9"/>
      <c r="F38" s="9"/>
      <c r="G38" s="9"/>
      <c r="H38" s="9"/>
      <c r="I38" s="9"/>
      <c r="J38" s="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3D08F9-562E-4180-A12D-5CCBDBC92B34}">
          <x14:formula1>
            <xm:f>'Repositorio de Entrenamientos'!$H$2:$H12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CREACION DE CALCULADORA</vt:lpstr>
      <vt:lpstr>CALCULADORA</vt:lpstr>
      <vt:lpstr>Reporte de Macrociclo</vt:lpstr>
      <vt:lpstr>Planificador Macrociclo</vt:lpstr>
      <vt:lpstr>Reporte Volumen de Entr.</vt:lpstr>
      <vt:lpstr>Repositorio de Entrenamientos</vt:lpstr>
      <vt:lpstr>Buscador Entrenamientos</vt:lpstr>
      <vt:lpstr>Buscador de Ejercicios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Serpa Imbett,Claudia Milena</dc:creator>
  <cp:lastModifiedBy>Raul Vicuña</cp:lastModifiedBy>
  <dcterms:created xsi:type="dcterms:W3CDTF">2025-12-13T14:29:52Z</dcterms:created>
  <dcterms:modified xsi:type="dcterms:W3CDTF">2025-12-14T19:13:55Z</dcterms:modified>
</cp:coreProperties>
</file>